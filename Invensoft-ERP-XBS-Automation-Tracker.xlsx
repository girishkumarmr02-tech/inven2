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rishKumarMR\Desktop\"/>
    </mc:Choice>
  </mc:AlternateContent>
  <xr:revisionPtr revIDLastSave="0" documentId="8_{F1DB543F-5DC1-4109-A639-A5EDD0751F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mmary" sheetId="1" r:id="rId1"/>
    <sheet name="Purchase-flow" sheetId="6" r:id="rId2"/>
    <sheet name="Sales-flow" sheetId="7" r:id="rId3"/>
    <sheet name="Dependencies" sheetId="5" r:id="rId4"/>
    <sheet name="Scenarios" sheetId="2" r:id="rId5"/>
    <sheet name="To Add" sheetId="4" r:id="rId6"/>
  </sheets>
  <definedNames>
    <definedName name="_xlnm._FilterDatabase" localSheetId="3" hidden="1">Dependencies!$A$1:$I$21</definedName>
    <definedName name="_xlnm._FilterDatabase" localSheetId="4" hidden="1">Scenarios!$A$1:$J$111</definedName>
    <definedName name="_xlnm._FilterDatabase" localSheetId="5" hidden="1">'To Add'!$A$1:$J$29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E7" i="1" s="1"/>
  <c r="D8" i="1"/>
  <c r="E8" i="1" s="1"/>
  <c r="G9" i="1"/>
  <c r="D5" i="1"/>
  <c r="E5" i="1" s="1"/>
  <c r="D4" i="1"/>
  <c r="E4" i="1" s="1"/>
  <c r="D6" i="1"/>
  <c r="E6" i="1" s="1"/>
  <c r="G11" i="1"/>
  <c r="H11" i="1"/>
  <c r="G12" i="1"/>
  <c r="H12" i="1"/>
  <c r="G13" i="1"/>
  <c r="H13" i="1"/>
  <c r="B26" i="5"/>
  <c r="B25" i="5"/>
  <c r="B24" i="5"/>
  <c r="E13" i="1"/>
  <c r="E12" i="1"/>
  <c r="C17" i="1"/>
  <c r="C14" i="1"/>
  <c r="C13" i="1"/>
  <c r="C12" i="1"/>
  <c r="C11" i="1"/>
  <c r="I11" i="1" l="1"/>
  <c r="I12" i="1"/>
  <c r="I13" i="1"/>
  <c r="G6" i="1"/>
  <c r="G5" i="1"/>
  <c r="G8" i="1"/>
  <c r="G4" i="1"/>
  <c r="G7" i="1"/>
  <c r="G3" i="1"/>
  <c r="C16" i="1"/>
</calcChain>
</file>

<file path=xl/sharedStrings.xml><?xml version="1.0" encoding="utf-8"?>
<sst xmlns="http://schemas.openxmlformats.org/spreadsheetml/2006/main" count="1370" uniqueCount="690">
  <si>
    <t>Overall</t>
  </si>
  <si>
    <t>Count</t>
  </si>
  <si>
    <t>Status</t>
  </si>
  <si>
    <t>Total scenarios</t>
  </si>
  <si>
    <t>Completed</t>
  </si>
  <si>
    <t>In Progress</t>
  </si>
  <si>
    <t>Pending</t>
  </si>
  <si>
    <t>Blocked</t>
  </si>
  <si>
    <t>% Completed</t>
  </si>
  <si>
    <t>Proposed in 'To Add' sheet</t>
  </si>
  <si>
    <t>Area</t>
  </si>
  <si>
    <t>Total</t>
  </si>
  <si>
    <t>Framework</t>
  </si>
  <si>
    <t>Login</t>
  </si>
  <si>
    <t>General</t>
  </si>
  <si>
    <t>Product Details</t>
  </si>
  <si>
    <t>Commission</t>
  </si>
  <si>
    <t>Other Sections</t>
  </si>
  <si>
    <t>Workflow</t>
  </si>
  <si>
    <t>Test Data</t>
  </si>
  <si>
    <t>Gherkin</t>
  </si>
  <si>
    <t>Locators</t>
  </si>
  <si>
    <t>Validation</t>
  </si>
  <si>
    <t>Execution</t>
  </si>
  <si>
    <t>Reporting</t>
  </si>
  <si>
    <t>CI/CD</t>
  </si>
  <si>
    <t>Contract List</t>
  </si>
  <si>
    <t>Calculations</t>
  </si>
  <si>
    <t>Open work by Priority</t>
  </si>
  <si>
    <t>Total Open</t>
  </si>
  <si>
    <t>High</t>
  </si>
  <si>
    <t>Medium</t>
  </si>
  <si>
    <t>Low</t>
  </si>
  <si>
    <t>Execution Result</t>
  </si>
  <si>
    <t>Pass</t>
  </si>
  <si>
    <t>Fail</t>
  </si>
  <si>
    <t>Skipped</t>
  </si>
  <si>
    <t>Not Run</t>
  </si>
  <si>
    <t>ID</t>
  </si>
  <si>
    <t>Module</t>
  </si>
  <si>
    <t>Scenario / Checklist Item</t>
  </si>
  <si>
    <t>Priority</t>
  </si>
  <si>
    <t>Category</t>
  </si>
  <si>
    <t>Defect / Reference</t>
  </si>
  <si>
    <t>Notes</t>
  </si>
  <si>
    <t>CCM-001</t>
  </si>
  <si>
    <t>Project Setup</t>
  </si>
  <si>
    <t>CCM-002</t>
  </si>
  <si>
    <t>Dependencies</t>
  </si>
  <si>
    <t>Selenium TestNG Cucumber and Allure dependencies configured</t>
  </si>
  <si>
    <t>CCM-003</t>
  </si>
  <si>
    <t>POM</t>
  </si>
  <si>
    <t>LoginPage and CommodityContractManagementPage implemented</t>
  </si>
  <si>
    <t>CCM-004</t>
  </si>
  <si>
    <t>DriverFactory</t>
  </si>
  <si>
    <t>Browser driver initialization and configuration</t>
  </si>
  <si>
    <t>CCM-005</t>
  </si>
  <si>
    <t>Configuration</t>
  </si>
  <si>
    <t>URL browser username and password configuration</t>
  </si>
  <si>
    <t>CCM-006</t>
  </si>
  <si>
    <t>Utilities</t>
  </si>
  <si>
    <t>Reusable explicit wait utility implemented</t>
  </si>
  <si>
    <t>CCM-007</t>
  </si>
  <si>
    <t>Scroll into view utility implemented</t>
  </si>
  <si>
    <t>CCM-008</t>
  </si>
  <si>
    <t>JavaScript click utility implemented</t>
  </si>
  <si>
    <t>CCM-009</t>
  </si>
  <si>
    <t>Element highlight utility implemented</t>
  </si>
  <si>
    <t>CCM-010</t>
  </si>
  <si>
    <t>Allure</t>
  </si>
  <si>
    <t>Failure screenshot and Allure reporting implemented</t>
  </si>
  <si>
    <t>CCM-011</t>
  </si>
  <si>
    <t>Hooks</t>
  </si>
  <si>
    <t>Scenario failure screenshot hook implemented</t>
  </si>
  <si>
    <t>CCM-012</t>
  </si>
  <si>
    <t>Scenario-end logout and browser cleanup</t>
  </si>
  <si>
    <t>Teardown</t>
  </si>
  <si>
    <t>CCM-013</t>
  </si>
  <si>
    <t>Azure DevOps Maven pipeline</t>
  </si>
  <si>
    <t>CCM-014</t>
  </si>
  <si>
    <t>Publish Allure results as pipeline artifact</t>
  </si>
  <si>
    <t>CCM-015</t>
  </si>
  <si>
    <t>Authentication</t>
  </si>
  <si>
    <t>Valid user login</t>
  </si>
  <si>
    <t>Smoke</t>
  </si>
  <si>
    <t>CCM-016</t>
  </si>
  <si>
    <t>Navigation</t>
  </si>
  <si>
    <t>Navigate Commercial to Commodity Contract Management</t>
  </si>
  <si>
    <t>CCM-017</t>
  </si>
  <si>
    <t>Navigate to Create Contract screen</t>
  </si>
  <si>
    <t>CCM-018</t>
  </si>
  <si>
    <t>Mandatory Fields</t>
  </si>
  <si>
    <t>Verify mandatory asterisk for multiple fields</t>
  </si>
  <si>
    <t>CCM-019</t>
  </si>
  <si>
    <t>Reusable validation accepting N field names as String</t>
  </si>
  <si>
    <t>CCM-020</t>
  </si>
  <si>
    <t>Class</t>
  </si>
  <si>
    <t>Select and verify Class</t>
  </si>
  <si>
    <t>Functional</t>
  </si>
  <si>
    <t>CCM-021</t>
  </si>
  <si>
    <t>Pricing</t>
  </si>
  <si>
    <t>Select and verify Pricing</t>
  </si>
  <si>
    <t>CCM-022</t>
  </si>
  <si>
    <t>Billing Location</t>
  </si>
  <si>
    <t>Select and verify Billing Location</t>
  </si>
  <si>
    <t>CCM-023</t>
  </si>
  <si>
    <t>Shipping Location</t>
  </si>
  <si>
    <t>Select and verify Shipping Location</t>
  </si>
  <si>
    <t>CCM-024</t>
  </si>
  <si>
    <t>Trader</t>
  </si>
  <si>
    <t>Verify Trader auto-populates based on logged-in user</t>
  </si>
  <si>
    <t>CCM-025</t>
  </si>
  <si>
    <t>Season</t>
  </si>
  <si>
    <t>Select and verify Season</t>
  </si>
  <si>
    <t>CCM-026</t>
  </si>
  <si>
    <t>Contract Number</t>
  </si>
  <si>
    <t>Generate/capture Contract Number</t>
  </si>
  <si>
    <t>CCM-027</t>
  </si>
  <si>
    <t>Contract Date</t>
  </si>
  <si>
    <t>Enter and verify Contract Date</t>
  </si>
  <si>
    <t>Defect/Validation</t>
  </si>
  <si>
    <t>Date format issue observed</t>
  </si>
  <si>
    <t>CCM-028</t>
  </si>
  <si>
    <t>Counterparty</t>
  </si>
  <si>
    <t>Select and verify Counterparty</t>
  </si>
  <si>
    <t>CCM-029</t>
  </si>
  <si>
    <t>Shipper</t>
  </si>
  <si>
    <t>Select and verify Shipper</t>
  </si>
  <si>
    <t>CCM-030</t>
  </si>
  <si>
    <t>References</t>
  </si>
  <si>
    <t>Enter and verify CP Reference 1 and CP Reference 2</t>
  </si>
  <si>
    <t>CCM-031</t>
  </si>
  <si>
    <t>Exchange</t>
  </si>
  <si>
    <t>Select and verify Exchange</t>
  </si>
  <si>
    <t>CCM-032</t>
  </si>
  <si>
    <t>Fixation</t>
  </si>
  <si>
    <t>Verify Fixation By and Fixation Terms</t>
  </si>
  <si>
    <t>CCM-033</t>
  </si>
  <si>
    <t>Currency</t>
  </si>
  <si>
    <t>Verify Invoice Currency and Price Currency/UOM</t>
  </si>
  <si>
    <t>CCM-034</t>
  </si>
  <si>
    <t>Payment</t>
  </si>
  <si>
    <t>Verify Payment Terms and Payment Terms Description</t>
  </si>
  <si>
    <t>CCM-035</t>
  </si>
  <si>
    <t>Tax</t>
  </si>
  <si>
    <t>Select and verify Tax Structure</t>
  </si>
  <si>
    <t>CCM-036</t>
  </si>
  <si>
    <t>Withholding Tax</t>
  </si>
  <si>
    <t>Select and verify With Holding Tax Structure</t>
  </si>
  <si>
    <t>CCM-037</t>
  </si>
  <si>
    <t>Single Product</t>
  </si>
  <si>
    <t>Create one product row using JSON data</t>
  </si>
  <si>
    <t>Data Driven</t>
  </si>
  <si>
    <t>CCM-038</t>
  </si>
  <si>
    <t>Multiple Products</t>
  </si>
  <si>
    <t>Create multiple product rows using JSON arrays</t>
  </si>
  <si>
    <t>CCM-039</t>
  </si>
  <si>
    <t>Product</t>
  </si>
  <si>
    <t>Select Product for dynamic row</t>
  </si>
  <si>
    <t>CCM-040</t>
  </si>
  <si>
    <t>Units</t>
  </si>
  <si>
    <t>Enter Units value</t>
  </si>
  <si>
    <t>CCM-041</t>
  </si>
  <si>
    <t>Packing</t>
  </si>
  <si>
    <t>Select Packing value</t>
  </si>
  <si>
    <t>CCM-042</t>
  </si>
  <si>
    <t>Quantity</t>
  </si>
  <si>
    <t>Enter Quantity value</t>
  </si>
  <si>
    <t>CCM-043</t>
  </si>
  <si>
    <t>UOM</t>
  </si>
  <si>
    <t>Select UOM value</t>
  </si>
  <si>
    <t>CCM-044</t>
  </si>
  <si>
    <t>Lots</t>
  </si>
  <si>
    <t>Enter No Of Lots</t>
  </si>
  <si>
    <t>CCM-045</t>
  </si>
  <si>
    <t>Price</t>
  </si>
  <si>
    <t>Enter Product Price</t>
  </si>
  <si>
    <t>CCM-046</t>
  </si>
  <si>
    <t>Target Type</t>
  </si>
  <si>
    <t>Select Target Type</t>
  </si>
  <si>
    <t>CCM-047</t>
  </si>
  <si>
    <t>Target Date</t>
  </si>
  <si>
    <t>Enter Target Date Range</t>
  </si>
  <si>
    <t>CCM-048</t>
  </si>
  <si>
    <t>Trade Month</t>
  </si>
  <si>
    <t>Select Trade Month</t>
  </si>
  <si>
    <t>CCM-049</t>
  </si>
  <si>
    <t>Position Month</t>
  </si>
  <si>
    <t>Select Position Month</t>
  </si>
  <si>
    <t>CCM-050</t>
  </si>
  <si>
    <t>Quality</t>
  </si>
  <si>
    <t>Select Quality</t>
  </si>
  <si>
    <t>CCM-051</t>
  </si>
  <si>
    <t>Certification Premium</t>
  </si>
  <si>
    <t>Enter Certification and Premium details</t>
  </si>
  <si>
    <t>CCM-052</t>
  </si>
  <si>
    <t>Dynamic Row</t>
  </si>
  <si>
    <t>Add product row dynamically using Add Row control</t>
  </si>
  <si>
    <t>Dynamic UI</t>
  </si>
  <si>
    <t>CCM-053</t>
  </si>
  <si>
    <t>Row Validation</t>
  </si>
  <si>
    <t>Verify every product row against JSON test data</t>
  </si>
  <si>
    <t>CCM-054</t>
  </si>
  <si>
    <t>Negative Quantity</t>
  </si>
  <si>
    <t>Verify invalid or empty Quantity validation</t>
  </si>
  <si>
    <t>Negative</t>
  </si>
  <si>
    <t>CCM-055</t>
  </si>
  <si>
    <t>Negative Price</t>
  </si>
  <si>
    <t>Verify invalid or empty Price validation</t>
  </si>
  <si>
    <t>CCM-056</t>
  </si>
  <si>
    <t>Date Validation</t>
  </si>
  <si>
    <t>Verify invalid Target Date Range validation</t>
  </si>
  <si>
    <t>CCM-057</t>
  </si>
  <si>
    <t>Single Commission</t>
  </si>
  <si>
    <t>Create one commission row using JSON</t>
  </si>
  <si>
    <t>CCM-058</t>
  </si>
  <si>
    <t>Multiple Commission</t>
  </si>
  <si>
    <t>Create N commission rows using JSON array</t>
  </si>
  <si>
    <t>CCM-059</t>
  </si>
  <si>
    <t>Agent Broker</t>
  </si>
  <si>
    <t>Select Agent/Broker</t>
  </si>
  <si>
    <t>CCM-060</t>
  </si>
  <si>
    <t>Reference Number</t>
  </si>
  <si>
    <t>Enter Commission Reference Number</t>
  </si>
  <si>
    <t>CCM-061</t>
  </si>
  <si>
    <t>Commission Type</t>
  </si>
  <si>
    <t>Verify Percentage Flat and Value types</t>
  </si>
  <si>
    <t>CCM-062</t>
  </si>
  <si>
    <t>Value</t>
  </si>
  <si>
    <t>Enter Commission Value</t>
  </si>
  <si>
    <t>CCM-063</t>
  </si>
  <si>
    <t>Value Unit</t>
  </si>
  <si>
    <t>Select Commission Value Unit</t>
  </si>
  <si>
    <t>CCM-064</t>
  </si>
  <si>
    <t>Data Matrix</t>
  </si>
  <si>
    <t>Execute multiple commission value and unit combinations</t>
  </si>
  <si>
    <t>CCM-065</t>
  </si>
  <si>
    <t>Verify every commission row against JSON</t>
  </si>
  <si>
    <t>CCM-066</t>
  </si>
  <si>
    <t>Negative Value</t>
  </si>
  <si>
    <t>Verify missing or invalid Commission Value</t>
  </si>
  <si>
    <t>CCM-067</t>
  </si>
  <si>
    <t>Negative Unit</t>
  </si>
  <si>
    <t>Verify missing Value Unit validation</t>
  </si>
  <si>
    <t>CCM-068</t>
  </si>
  <si>
    <t>Delivery Terms</t>
  </si>
  <si>
    <t>Enter and verify Delivery Terms/T&amp;C</t>
  </si>
  <si>
    <t>CCM-069</t>
  </si>
  <si>
    <t>Port Of Loading</t>
  </si>
  <si>
    <t>Select and verify Port Of Loading</t>
  </si>
  <si>
    <t>CCM-070</t>
  </si>
  <si>
    <t>Port Of Discharge</t>
  </si>
  <si>
    <t>Select and verify Port Of Discharge</t>
  </si>
  <si>
    <t>CCM-071</t>
  </si>
  <si>
    <t>Port Validation</t>
  </si>
  <si>
    <t>Verify Port Of Loading and Port Of Discharge cannot be same</t>
  </si>
  <si>
    <t>CCM-072</t>
  </si>
  <si>
    <t>Documents</t>
  </si>
  <si>
    <t>Select required documents and checkboxes</t>
  </si>
  <si>
    <t>CCM-073</t>
  </si>
  <si>
    <t>Remarks</t>
  </si>
  <si>
    <t>Enter and verify Remarks</t>
  </si>
  <si>
    <t>CCM-074</t>
  </si>
  <si>
    <t>Save</t>
  </si>
  <si>
    <t>Save valid Commodity Contract</t>
  </si>
  <si>
    <t>E2E</t>
  </si>
  <si>
    <t>CCM-075</t>
  </si>
  <si>
    <t>Create Success</t>
  </si>
  <si>
    <t>Verify CONTRACT CREATED SUCCESSFULLY message</t>
  </si>
  <si>
    <t>CCM-076</t>
  </si>
  <si>
    <t>Pending Status</t>
  </si>
  <si>
    <t>Verify newly created contract status is Pending</t>
  </si>
  <si>
    <t>CCM-077</t>
  </si>
  <si>
    <t>Approver</t>
  </si>
  <si>
    <t>Execute Approver workflow</t>
  </si>
  <si>
    <t>CCM-078</t>
  </si>
  <si>
    <t>Approval Success</t>
  </si>
  <si>
    <t>Verify CONTRACT APPROVED SUCCESSFULLY message</t>
  </si>
  <si>
    <t>CCM-079</t>
  </si>
  <si>
    <t>Approved Status</t>
  </si>
  <si>
    <t>Verify contract status is Approved</t>
  </si>
  <si>
    <t>CCM-080</t>
  </si>
  <si>
    <t>Amendment</t>
  </si>
  <si>
    <t>Open Copy By Contract and select Amendment</t>
  </si>
  <si>
    <t>CCM-081</t>
  </si>
  <si>
    <t>Amendment Data</t>
  </si>
  <si>
    <t>Verify copied contract data in Amendment flow</t>
  </si>
  <si>
    <t>CCM-082</t>
  </si>
  <si>
    <t>Amendment Fields</t>
  </si>
  <si>
    <t>Verify fields that should be disabled after Amendment</t>
  </si>
  <si>
    <t>CCM-083</t>
  </si>
  <si>
    <t>Amendment Number</t>
  </si>
  <si>
    <t>Verify Amendment Number and Amendment Date</t>
  </si>
  <si>
    <t>CCM-084</t>
  </si>
  <si>
    <t>Amendment Save</t>
  </si>
  <si>
    <t>Save amended contract and verify success</t>
  </si>
  <si>
    <t>CCM-085</t>
  </si>
  <si>
    <t>JSON Structure</t>
  </si>
  <si>
    <t>Store contract test data in JSON</t>
  </si>
  <si>
    <t>Maintainability</t>
  </si>
  <si>
    <t>CCM-086</t>
  </si>
  <si>
    <t>TestCaseId</t>
  </si>
  <si>
    <t>Load test data using TestCaseId</t>
  </si>
  <si>
    <t>CCM-087</t>
  </si>
  <si>
    <t>Product Array</t>
  </si>
  <si>
    <t>Support multiple product objects in JSON</t>
  </si>
  <si>
    <t>CCM-088</t>
  </si>
  <si>
    <t>Commission Array</t>
  </si>
  <si>
    <t>Support multiple commission objects in JSON</t>
  </si>
  <si>
    <t>CCM-089</t>
  </si>
  <si>
    <t>Fail Fast</t>
  </si>
  <si>
    <t>Fail before browser execution when TestCaseId is missing</t>
  </si>
  <si>
    <t>CCM-090</t>
  </si>
  <si>
    <t>Reusable Steps</t>
  </si>
  <si>
    <t>Use reusable generic step for multiple validation fields</t>
  </si>
  <si>
    <t>CCM-091</t>
  </si>
  <si>
    <t>PrimeNG Table</t>
  </si>
  <si>
    <t>Identify visible headers and map them to body columns</t>
  </si>
  <si>
    <t>Locator</t>
  </si>
  <si>
    <t>CCM-092</t>
  </si>
  <si>
    <t>Hidden Columns</t>
  </si>
  <si>
    <t>Handle hidden Lot No/dynamic table columns</t>
  </si>
  <si>
    <t>CCM-093</t>
  </si>
  <si>
    <t>Dynamic Rows</t>
  </si>
  <si>
    <t>Use row-relative locators for dynamic product rows</t>
  </si>
  <si>
    <t>CCM-094</t>
  </si>
  <si>
    <t>Mandatory Asterisk</t>
  </si>
  <si>
    <t>Use robust XPath for field label and mandatory marker</t>
  </si>
  <si>
    <t>CCM-095</t>
  </si>
  <si>
    <t>Locator Refactoring</t>
  </si>
  <si>
    <t>Replace brittle index-based locators with stable attributes/relationships</t>
  </si>
  <si>
    <t>Refactoring</t>
  </si>
  <si>
    <t>CCM-096</t>
  </si>
  <si>
    <t>Field Retention</t>
  </si>
  <si>
    <t>Verify entered values remain after moving between fields</t>
  </si>
  <si>
    <t>CCM-097</t>
  </si>
  <si>
    <t>Required Fields</t>
  </si>
  <si>
    <t>Submit blank form and verify required-field messages</t>
  </si>
  <si>
    <t>CCM-098</t>
  </si>
  <si>
    <t>Save Error</t>
  </si>
  <si>
    <t>Verify page/API save failure message</t>
  </si>
  <si>
    <t>CCM-099</t>
  </si>
  <si>
    <t>Toast</t>
  </si>
  <si>
    <t>Create reusable reliable validation for short-lived toast messages</t>
  </si>
  <si>
    <t>CCM-100</t>
  </si>
  <si>
    <t>Dropdown Negative</t>
  </si>
  <si>
    <t>Verify mandatory dropdown validation when no value is selected</t>
  </si>
  <si>
    <t>CCM-101</t>
  </si>
  <si>
    <t>Duplicate Data</t>
  </si>
  <si>
    <t>Validate duplicate/invalid business data scenarios</t>
  </si>
  <si>
    <t>CCM-102</t>
  </si>
  <si>
    <t>Boundary Data</t>
  </si>
  <si>
    <t>Verify zero decimal minimum and maximum numeric values</t>
  </si>
  <si>
    <t>Boundary</t>
  </si>
  <si>
    <t>CCM-103</t>
  </si>
  <si>
    <t>Smoke Suite</t>
  </si>
  <si>
    <t>Create stable CCM Smoke test tag/suite</t>
  </si>
  <si>
    <t>CCM-104</t>
  </si>
  <si>
    <t>Regression Suite</t>
  </si>
  <si>
    <t>Create complete CCM Regression suite</t>
  </si>
  <si>
    <t>CCM-105</t>
  </si>
  <si>
    <t>Failure Recovery</t>
  </si>
  <si>
    <t>Verify browser cleanup after failed scenarios</t>
  </si>
  <si>
    <t>CCM-106</t>
  </si>
  <si>
    <t>Parallel Execution</t>
  </si>
  <si>
    <t>Evaluate driver isolation and parallel execution</t>
  </si>
  <si>
    <t>Performance</t>
  </si>
  <si>
    <t>CCM-107</t>
  </si>
  <si>
    <t>Allure Metadata</t>
  </si>
  <si>
    <t>Add environment/test metadata to Allure report</t>
  </si>
  <si>
    <t>CCM-108</t>
  </si>
  <si>
    <t>Allure Artifacts</t>
  </si>
  <si>
    <t>Attach screenshots and useful evidence for failed scenarios</t>
  </si>
  <si>
    <t>CCM-109</t>
  </si>
  <si>
    <t>Pipeline Execution</t>
  </si>
  <si>
    <t>Execute CCM Maven tests through Azure DevOps</t>
  </si>
  <si>
    <t>CCM-110</t>
  </si>
  <si>
    <t>Pipeline Reporting</t>
  </si>
  <si>
    <t>Publish test results and Allure artifacts from pipeline</t>
  </si>
  <si>
    <t>Type</t>
  </si>
  <si>
    <t>Expected Result</t>
  </si>
  <si>
    <t>Action</t>
  </si>
  <si>
    <t>CCM-111</t>
  </si>
  <si>
    <t>Captured Values</t>
  </si>
  <si>
    <t>Save captured runtime values (e.g. Contract No.) to values.properties and capturedValues.json per TestCaseId</t>
  </si>
  <si>
    <t>In progress now: TestContext + updateTheValueInJsonFile</t>
  </si>
  <si>
    <t>CCM-112</t>
  </si>
  <si>
    <t>Captured Values Read</t>
  </si>
  <si>
    <t>Read the captured Contract No. back by TestCaseId in Approver and Amendment steps</t>
  </si>
  <si>
    <t>Removes hard dependency on values.properties</t>
  </si>
  <si>
    <t>CCM-113</t>
  </si>
  <si>
    <t>CCM-114</t>
  </si>
  <si>
    <t>CCM-115</t>
  </si>
  <si>
    <t>Schema Validation</t>
  </si>
  <si>
    <t>Validate JSON test data (required keys, product and commission arrays) before the browser starts</t>
  </si>
  <si>
    <t>Extends CCM-089 from missing TestCaseId to missing fields</t>
  </si>
  <si>
    <t>CCM-116</t>
  </si>
  <si>
    <t>Retry</t>
  </si>
  <si>
    <t>Retry analyzer for flaky failures (max 1 retry) with retry count visible in Allure</t>
  </si>
  <si>
    <t>Keep off for defect scenarios</t>
  </si>
  <si>
    <t>CCM-117</t>
  </si>
  <si>
    <t>Environment</t>
  </si>
  <si>
    <t>Switch URL and credentials per environment (QA/UAT) through a Maven -D property</t>
  </si>
  <si>
    <t>Needed before the Azure DevOps pipeline (CCM-109)</t>
  </si>
  <si>
    <t>CCM-118</t>
  </si>
  <si>
    <t>Traceability</t>
  </si>
  <si>
    <t>Tag every Cucumber scenario with its CCM ID so results map back to this sheet</t>
  </si>
  <si>
    <t>e.g. @CCM-077</t>
  </si>
  <si>
    <t>CCM-119</t>
  </si>
  <si>
    <t>CCM-120</t>
  </si>
  <si>
    <t>Run Smoke suite on Chrome and Edge</t>
  </si>
  <si>
    <t>CCM-121</t>
  </si>
  <si>
    <t>Allure History</t>
  </si>
  <si>
    <t>Keep Allure history and trends between pipeline runs</t>
  </si>
  <si>
    <t>Link to CCM-110</t>
  </si>
  <si>
    <t>CCM-122</t>
  </si>
  <si>
    <t>Reject</t>
  </si>
  <si>
    <t>Approver rejects a contract; verify rejection message and Rejected status</t>
  </si>
  <si>
    <t>Confirm with app: reject flow exists</t>
  </si>
  <si>
    <t>CCM-123</t>
  </si>
  <si>
    <t>Edit a Pending contract before approval and verify changes are saved</t>
  </si>
  <si>
    <t>Confirm with app</t>
  </si>
  <si>
    <t>CCM-124</t>
  </si>
  <si>
    <t>Cancel Create</t>
  </si>
  <si>
    <t>Cancel the Create Contract screen and verify nothing is saved</t>
  </si>
  <si>
    <t>CCM-125</t>
  </si>
  <si>
    <t>Security</t>
  </si>
  <si>
    <t>CCM-126</t>
  </si>
  <si>
    <t>CCM-127</t>
  </si>
  <si>
    <t>View Approved</t>
  </si>
  <si>
    <t>Verify an Approved contract opens read-only (fields disabled)</t>
  </si>
  <si>
    <t>CCM-128</t>
  </si>
  <si>
    <t>Amendment History</t>
  </si>
  <si>
    <t>Verify status and history of original vs amended contract after Amendment approval</t>
  </si>
  <si>
    <t>Extends CCM-084</t>
  </si>
  <si>
    <t>CCM-129</t>
  </si>
  <si>
    <t>Search By Contract No</t>
  </si>
  <si>
    <t>Search the list by captured Contract No. and verify the correct row is returned</t>
  </si>
  <si>
    <t>Your capture step already reads the list column</t>
  </si>
  <si>
    <t>CCM-130</t>
  </si>
  <si>
    <t>Filters</t>
  </si>
  <si>
    <t>Filter list by Status, Counterparty and Date range</t>
  </si>
  <si>
    <t>CCM-131</t>
  </si>
  <si>
    <t>Grid Behaviour</t>
  </si>
  <si>
    <t>Verify pagination, sorting and column visibility on the list</t>
  </si>
  <si>
    <t>CCM-132</t>
  </si>
  <si>
    <t>Product Totals</t>
  </si>
  <si>
    <t>Verify product row total and contract total (Quantity x Price)</t>
  </si>
  <si>
    <t>Confirm formula with BA</t>
  </si>
  <si>
    <t>CCM-133</t>
  </si>
  <si>
    <t>Commission Amount</t>
  </si>
  <si>
    <t>Verify commission amount for Percentage, Flat and Value types</t>
  </si>
  <si>
    <t>CCM-064 covers input combinations, not the calculated result</t>
  </si>
  <si>
    <t>CCM-134</t>
  </si>
  <si>
    <t>Tax Amounts</t>
  </si>
  <si>
    <t>Verify Tax and Withholding Tax amounts for the selected structures</t>
  </si>
  <si>
    <t>CCM-135</t>
  </si>
  <si>
    <t>Delete Row</t>
  </si>
  <si>
    <t>Delete a product row and verify remaining rows and totals</t>
  </si>
  <si>
    <t>CCM-136</t>
  </si>
  <si>
    <t>Many Rows</t>
  </si>
  <si>
    <t>Add 10+ product rows and verify row-relative locators still hold</t>
  </si>
  <si>
    <t>Link to CCM-093</t>
  </si>
  <si>
    <t>CCM-137</t>
  </si>
  <si>
    <t>Date Rules</t>
  </si>
  <si>
    <t>Target Date From not after To; Trade Month / Position Month consistency</t>
  </si>
  <si>
    <t>Confirm rules with BA</t>
  </si>
  <si>
    <t>CCM-138</t>
  </si>
  <si>
    <t>Delete a commission row and verify remaining rows</t>
  </si>
  <si>
    <t>Dependent Dropdowns</t>
  </si>
  <si>
    <t>Verify Billing, Shipping and Shipper options depend on the selected Counterparty</t>
  </si>
  <si>
    <t>Contract Date Retest</t>
  </si>
  <si>
    <t>Retest Contract Date after the date-format defect is fixed</t>
  </si>
  <si>
    <t>Link to CCM-027</t>
  </si>
  <si>
    <t>Session</t>
  </si>
  <si>
    <t>Verify logout and session-timeout behaviour</t>
  </si>
  <si>
    <t>#</t>
  </si>
  <si>
    <t>Dependency</t>
  </si>
  <si>
    <t>Maven coordinates (groupId:artifactId)</t>
  </si>
  <si>
    <t>Version</t>
  </si>
  <si>
    <t>Version defined in</t>
  </si>
  <si>
    <t>Used for</t>
  </si>
  <si>
    <t>Review</t>
  </si>
  <si>
    <t>Note / Action</t>
  </si>
  <si>
    <t>Language</t>
  </si>
  <si>
    <t>Java</t>
  </si>
  <si>
    <t>-</t>
  </si>
  <si>
    <t>21</t>
  </si>
  <si>
    <t>maven.compiler.release</t>
  </si>
  <si>
    <t>Language level (compiler release)</t>
  </si>
  <si>
    <t>OK</t>
  </si>
  <si>
    <t>Library</t>
  </si>
  <si>
    <t>Selenium Java</t>
  </si>
  <si>
    <t>org.seleniumhq.selenium:selenium-java</t>
  </si>
  <si>
    <t>4.47.0</t>
  </si>
  <si>
    <t>selenium.version property</t>
  </si>
  <si>
    <t>Browser automation (Edge, Chrome, Firefox)</t>
  </si>
  <si>
    <t>TestNG</t>
  </si>
  <si>
    <t>org.testng:testng</t>
  </si>
  <si>
    <t>7.11.0</t>
  </si>
  <si>
    <t>testng.version property</t>
  </si>
  <si>
    <t>Test runner and assertions</t>
  </si>
  <si>
    <t>Cucumber Java</t>
  </si>
  <si>
    <t>io.cucumber:cucumber-java</t>
  </si>
  <si>
    <t>7.34.7</t>
  </si>
  <si>
    <t>cucumber.version property</t>
  </si>
  <si>
    <t>Gherkin step definitions</t>
  </si>
  <si>
    <t>Cucumber TestNG</t>
  </si>
  <si>
    <t>io.cucumber:cucumber-testng</t>
  </si>
  <si>
    <t>Runs Cucumber features through TestNG</t>
  </si>
  <si>
    <t>Keep on the same version as cucumber-java</t>
  </si>
  <si>
    <t>BOM</t>
  </si>
  <si>
    <t>Allure BOM</t>
  </si>
  <si>
    <t>io.qameta.allure:allure-bom</t>
  </si>
  <si>
    <t>2.29.0</t>
  </si>
  <si>
    <t>allure.version property</t>
  </si>
  <si>
    <t>Manages Allure library versions</t>
  </si>
  <si>
    <t>Imported in dependencyManagement</t>
  </si>
  <si>
    <t>Allure Cucumber 7 JVM</t>
  </si>
  <si>
    <t>io.qameta.allure:allure-cucumber7-jvm</t>
  </si>
  <si>
    <t>2.29.0 (from BOM)</t>
  </si>
  <si>
    <t>Allure reporting for Cucumber 7</t>
  </si>
  <si>
    <t>AspectJ Weaver</t>
  </si>
  <si>
    <t>org.aspectj:aspectjweaver</t>
  </si>
  <si>
    <t>1.9.22</t>
  </si>
  <si>
    <t>aspectj.version property</t>
  </si>
  <si>
    <t>Needed by Allure for @Step weaving</t>
  </si>
  <si>
    <t>Check</t>
  </si>
  <si>
    <t>No argLine -javaagent in surefire. Only needed if you use Allure @Step; otherwise the plain Cucumber plugin does not need it.</t>
  </si>
  <si>
    <t>Log4j2 API</t>
  </si>
  <si>
    <t>org.apache.logging.log4j:log4j-api</t>
  </si>
  <si>
    <t>2.25.2</t>
  </si>
  <si>
    <t>log4j.version property</t>
  </si>
  <si>
    <t>Logging API (log.info)</t>
  </si>
  <si>
    <t>Log4j2 Core</t>
  </si>
  <si>
    <t>org.apache.logging.log4j:log4j-core</t>
  </si>
  <si>
    <t>Logging implementation</t>
  </si>
  <si>
    <t>Log4j2 SLF4J2 binding</t>
  </si>
  <si>
    <t>org.apache.logging.log4j:log4j-slf4j2-impl</t>
  </si>
  <si>
    <t>Routes Selenium SLF4J logs to Log4j2</t>
  </si>
  <si>
    <t>Fixes the no SLF4J providers warning</t>
  </si>
  <si>
    <t>Commons Configuration2</t>
  </si>
  <si>
    <t>org.apache.commons:commons-configuration2</t>
  </si>
  <si>
    <t>2.11.0</t>
  </si>
  <si>
    <t>Hardcoded in dependency</t>
  </si>
  <si>
    <t>Update values.properties</t>
  </si>
  <si>
    <t>Move version to a property for consistency</t>
  </si>
  <si>
    <t>Commons Lang3</t>
  </si>
  <si>
    <t>org.apache.commons:commons-lang3</t>
  </si>
  <si>
    <t>3.17.0</t>
  </si>
  <si>
    <t>Utility classes (needed by Configuration2)</t>
  </si>
  <si>
    <t>Older release; newer versions address published security advisories. Check Maven Central.</t>
  </si>
  <si>
    <t>Commons BeanUtils</t>
  </si>
  <si>
    <t>commons-beanutils:commons-beanutils</t>
  </si>
  <si>
    <t>1.9.4</t>
  </si>
  <si>
    <t>Needed by Configuration2 builders</t>
  </si>
  <si>
    <t>Jackson Databind</t>
  </si>
  <si>
    <t>com.fasterxml.jackson.core:jackson-databind</t>
  </si>
  <si>
    <t>2.17.2</t>
  </si>
  <si>
    <t>JSON test data and capturedValues.json</t>
  </si>
  <si>
    <t>Check for a newer 2.x patch release on Maven Central.</t>
  </si>
  <si>
    <t>Plugin</t>
  </si>
  <si>
    <t>org.apache.maven.plugins:maven-compiler-plugin</t>
  </si>
  <si>
    <t>3.14.1</t>
  </si>
  <si>
    <t>maven.compiler.plugin.version</t>
  </si>
  <si>
    <t>Compiles with release 21</t>
  </si>
  <si>
    <t>Maven Surefire Plugin</t>
  </si>
  <si>
    <t>org.apache.maven.plugins:maven-surefire-plugin</t>
  </si>
  <si>
    <t>Not set (Maven default)</t>
  </si>
  <si>
    <t>No version in plugin block</t>
  </si>
  <si>
    <t>Runs tests (mvn test, pipeline)</t>
  </si>
  <si>
    <t>maven.surefire.plugin.version = 3.5.4 is defined but never used. Add &lt;version&gt;${maven.surefire.plugin.version}&lt;/version&gt; to the plugin.</t>
  </si>
  <si>
    <t>Config</t>
  </si>
  <si>
    <t>Surefire testFailureIgnore</t>
  </si>
  <si>
    <t>maven-surefire-plugin configuration</t>
  </si>
  <si>
    <t>true</t>
  </si>
  <si>
    <t>Plugin configuration</t>
  </si>
  <si>
    <t>Keeps the build green when tests fail</t>
  </si>
  <si>
    <t>Failing tests will not fail the Azure DevOps pipeline (CCM-013/109). Remove or set false for pipeline runs.</t>
  </si>
  <si>
    <t>Allure Maven Plugin</t>
  </si>
  <si>
    <t>io.qameta.allure:allure-maven</t>
  </si>
  <si>
    <t>2.12.0</t>
  </si>
  <si>
    <t>allure.maven.version</t>
  </si>
  <si>
    <t>Generate Allure report</t>
  </si>
  <si>
    <t>installDirectory C:/tools/allure-cli is a Windows path and will fail on Linux pipeline agents. Make it a property or remove it for pipeline runs.</t>
  </si>
  <si>
    <t>Tool</t>
  </si>
  <si>
    <t>Allure Report CLI</t>
  </si>
  <si>
    <t>reportVersion in allure-maven</t>
  </si>
  <si>
    <t>2.20.1</t>
  </si>
  <si>
    <t>allure-maven configuration</t>
  </si>
  <si>
    <t>Version of the report generator</t>
  </si>
  <si>
    <t>Differs from the Allure library version 2.29.0; consider aligning. Also confirm allure.properties sets allure.results.directory=target/allure-results, as the plugin reads that folder.</t>
  </si>
  <si>
    <t>Counts</t>
  </si>
  <si>
    <t>Invensoft ERP-XBS-Automation Tracker</t>
  </si>
  <si>
    <t>Selenium framework setup</t>
  </si>
  <si>
    <t>Java 21,Intellij IDE andMaven project configured</t>
  </si>
  <si>
    <t>Reusalble utilities</t>
  </si>
  <si>
    <t>In-Progress</t>
  </si>
  <si>
    <t>Modify/Edit Pending</t>
  </si>
  <si>
    <t>A</t>
  </si>
  <si>
    <t>Verify Price Currency/UOM is reflected in Commission Details → Value Unit when Flat Amount is selected.</t>
  </si>
  <si>
    <t>Validations</t>
  </si>
  <si>
    <t>Verify all mandatory field validations are displayed when Save is clicked without entering required details.</t>
  </si>
  <si>
    <t>CCM Create</t>
  </si>
  <si>
    <t>Cucumber for Java, Gherkin, TestNG, Allure, SonarLint, .ignore.Maven Compiler Plugin</t>
  </si>
  <si>
    <t>PUR-GRN-SI-001</t>
  </si>
  <si>
    <t>Step</t>
  </si>
  <si>
    <t>Action/Test Data</t>
  </si>
  <si>
    <t>Purchase Contract - Create</t>
  </si>
  <si>
    <t>COFFEE-PURCHASE LOCAL FLAT PRICE @200 INR/Kg, Vendor 1, Robusta Cherry RC RAW 20 MT</t>
  </si>
  <si>
    <t>Contract created successfully</t>
  </si>
  <si>
    <t>Verification</t>
  </si>
  <si>
    <t>Dashboard &amp; Commodity Contract Report</t>
  </si>
  <si>
    <t>Details displayed correctly</t>
  </si>
  <si>
    <t>Contract Review</t>
  </si>
  <si>
    <t>Approve contract</t>
  </si>
  <si>
    <t>Contract approved</t>
  </si>
  <si>
    <t>Dashboard &amp; Report</t>
  </si>
  <si>
    <t>Details updated correctly</t>
  </si>
  <si>
    <t>Shipping Instruction Create</t>
  </si>
  <si>
    <t>RC RAW 10 MT</t>
  </si>
  <si>
    <t>SI created successfully</t>
  </si>
  <si>
    <t>SI Review</t>
  </si>
  <si>
    <t>Approve SI</t>
  </si>
  <si>
    <t>SI approved</t>
  </si>
  <si>
    <t>GRN Create</t>
  </si>
  <si>
    <t>GRN created successfully</t>
  </si>
  <si>
    <t>Dashboard, Commodity Contract Report, GRN Summary</t>
  </si>
  <si>
    <t>Data reflected correctly</t>
  </si>
  <si>
    <t>PUR-GRN-NO-SI-001</t>
  </si>
  <si>
    <t>COFFEE-PURCHASE LOCAL FLAT PRICE @200 INR/Kg, Vendor 1, RC RAW 10 MT</t>
  </si>
  <si>
    <t>Contract created</t>
  </si>
  <si>
    <t>GRN created</t>
  </si>
  <si>
    <t>Data verified</t>
  </si>
  <si>
    <t>PUR-TICKET-001</t>
  </si>
  <si>
    <t>Purchase Contract Create</t>
  </si>
  <si>
    <t>Ticketing Create</t>
  </si>
  <si>
    <t>Inbound GRN Ticket</t>
  </si>
  <si>
    <t>Ticket created</t>
  </si>
  <si>
    <t>Ticket Review</t>
  </si>
  <si>
    <t>Approve Ticket</t>
  </si>
  <si>
    <t>Ticket approved</t>
  </si>
  <si>
    <t>1st Weight</t>
  </si>
  <si>
    <t>15 MT</t>
  </si>
  <si>
    <t>Weight recorded</t>
  </si>
  <si>
    <t>Purchase Intake</t>
  </si>
  <si>
    <t>400 Units, 25 KG PP Bags, Net 10000 KG, Gross 10100 KG</t>
  </si>
  <si>
    <t>Intake recorded</t>
  </si>
  <si>
    <t>2nd Weight</t>
  </si>
  <si>
    <t>4.9 MT Empty Truck</t>
  </si>
  <si>
    <t>Allocation and GRN auto created</t>
  </si>
  <si>
    <t>Transaction Mapping</t>
  </si>
  <si>
    <t>Ticket Qty 10 MT, GRN Qty 10 MT</t>
  </si>
  <si>
    <t>Allocation completed</t>
  </si>
  <si>
    <t>Autoamation Scripts</t>
  </si>
  <si>
    <t>Purchase Order Flow</t>
  </si>
  <si>
    <t>Ticketing Review</t>
  </si>
  <si>
    <t xml:space="preserve">Modules </t>
  </si>
  <si>
    <t>Sales Contract Create</t>
  </si>
  <si>
    <t>RC A 10 MT</t>
  </si>
  <si>
    <t>Goods Dispatch Note (Outbound)</t>
  </si>
  <si>
    <t>Approve ticket for Customer 1</t>
  </si>
  <si>
    <t>1st Weight Outbound</t>
  </si>
  <si>
    <t>Ticket Sales Dispatch</t>
  </si>
  <si>
    <t>Dispatch details recorded</t>
  </si>
  <si>
    <t>Auto allocation and GDN created</t>
  </si>
  <si>
    <t>Reports Verification</t>
  </si>
  <si>
    <t>Commodity Contract Report &amp; GDN Summary</t>
  </si>
  <si>
    <t>Reports verified</t>
  </si>
  <si>
    <t>Ticket Transaction Mapping</t>
  </si>
  <si>
    <t>Ticket Qty 10 MT, GDN Qty 10 MT</t>
  </si>
  <si>
    <t>Contract allocation completed</t>
  </si>
  <si>
    <t>COFFEE-Sales LOCAL FLAT PRICE @200 INR/Kg, Customer 1, RC A 20 MT</t>
  </si>
  <si>
    <t>Details verified</t>
  </si>
  <si>
    <t>SI created</t>
  </si>
  <si>
    <t>Goods Dispatch Note Create</t>
  </si>
  <si>
    <t>GDN created</t>
  </si>
  <si>
    <t>Dashboard, Commodity Contract Report, GDN Summary</t>
  </si>
  <si>
    <t>COFFEE-Sales LOCAL FLAT PRICE @200 INR/Kg, Customer 1, RC A 10 MT</t>
  </si>
  <si>
    <t>SALES-GDN-SI-001</t>
  </si>
  <si>
    <t>SALES-GDN-NO-SI-001</t>
  </si>
  <si>
    <t>TICKET-SALES-001</t>
  </si>
  <si>
    <t>Sales  Flow</t>
  </si>
  <si>
    <t>PURCHASE - Basic flow for direct GRN withShipping Instruction.Purchase Contract - Create -&gt; Purchase Contract - Review -&gt; Shipping Instruction - Create -&gt; Shipping Instruction - Review -&gt; Goods Receipt Note - Create</t>
  </si>
  <si>
    <t>TICKETING PURCHASE - User has recorded the ticket details and allocated the Flat price purchase contract to the ticket.
Purchase Contract - Create -&gt; Purchase Contract - Approval -&gt; Ticket Create -&gt; Ticket Review -&gt; Ticket 1st Weight -&gt; Warehouse Intake/Dispatch -&gt; Ticket 2nd Weight -&gt; Ticket Purchase Allocation.</t>
  </si>
  <si>
    <t>SALES -  Basic flow for direct DC withShipping Instruction
Sales Contract - Create -&gt; Sales Contract - Review -&gt; Shipping Instruction - Create -&gt; Shipping Instruction - Review -&gt; Goods Dispatch Note - Create</t>
  </si>
  <si>
    <t>SALES - LOCAL FLAT PRICE - Basic flow for direct DC without Shipping Instruction
Sales Contract - Create -&gt; Sales Contract - Review -&gt; Goods Dispatch Note - Create</t>
  </si>
  <si>
    <t>TICKETING SALES - User has recorded the ticket details and allocated the Flat price sales contract to the ticket.
Sales Contract - Create -&gt; Sales Contract - Approval -&gt; Ticket Create -&gt; Ticket Review -&gt; Ticket 1st Weight -&gt; Warehouse Intake/Dispatch -&gt; Ticket 2nd Weight -&gt; Ticket Sales Allocation.</t>
  </si>
  <si>
    <t>PURCHASE - LOCAL FLAT PRICE - Basic flow for direct GRN without Shipping Instruction
Purchase Contract - Create -&gt; Purchase Contract - Review -&gt; Goods Receipt Note - Create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</si>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</sst>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0"/>
      <color rgb="FF4472C4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3" tint="0.39997558519241921"/>
        <bgColor rgb="FF333333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9" fillId="2" borderId="0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4" fontId="2" fillId="0" borderId="2" xfId="0" applyNumberFormat="1" applyFont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2" xfId="0" applyFont="1" applyBorder="1" applyAlignment="1">
      <alignment horizontal="left"/>
    </xf>
    <xf numFmtId="0" fontId="7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2" fillId="5" borderId="0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11" fillId="0" borderId="2" xfId="0" applyFont="1" applyBorder="1"/>
    <xf numFmtId="0" fontId="0" fillId="0" borderId="2" xfId="0" applyBorder="1" applyAlignment="1">
      <alignment horizontal="center"/>
    </xf>
    <xf numFmtId="0" fontId="12" fillId="11" borderId="2" xfId="0" applyFont="1" applyFill="1" applyBorder="1" applyAlignment="1">
      <alignment horizontal="left"/>
    </xf>
    <xf numFmtId="0" fontId="12" fillId="11" borderId="2" xfId="0" applyFont="1" applyFill="1" applyBorder="1"/>
    <xf numFmtId="0" fontId="13" fillId="10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left"/>
    </xf>
    <xf numFmtId="0" fontId="1" fillId="12" borderId="2" xfId="0" applyFont="1" applyFill="1" applyBorder="1" applyAlignment="1">
      <alignment horizontal="center"/>
    </xf>
    <xf numFmtId="0" fontId="0" fillId="13" borderId="0" xfId="0" applyFill="1"/>
    <xf numFmtId="0" fontId="8" fillId="12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2" fillId="0" borderId="4" xfId="0" applyFont="1" applyBorder="1"/>
    <xf numFmtId="0" fontId="6" fillId="12" borderId="2" xfId="0" applyFont="1" applyFill="1" applyBorder="1" applyAlignment="1">
      <alignment horizontal="left"/>
    </xf>
    <xf numFmtId="0" fontId="15" fillId="0" borderId="2" xfId="0" applyFont="1" applyBorder="1" applyAlignment="1"/>
    <xf numFmtId="0" fontId="14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50"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6"/>
  <sheetViews>
    <sheetView showGridLines="0" tabSelected="1" zoomScale="96" zoomScaleNormal="96" workbookViewId="0">
      <selection activeCell="E21" sqref="E21"/>
    </sheetView>
  </sheetViews>
  <sheetFormatPr defaultColWidth="8.7109375" defaultRowHeight="15" x14ac:dyDescent="0.25"/>
  <cols>
    <col min="2" max="2" width="105.28515625" customWidth="1"/>
    <col min="3" max="3" width="8.85546875" bestFit="1" customWidth="1"/>
    <col min="4" max="4" width="24.42578125" bestFit="1" customWidth="1"/>
    <col min="5" max="5" width="10.140625" customWidth="1"/>
    <col min="6" max="6" width="21.85546875" bestFit="1" customWidth="1"/>
    <col min="7" max="7" width="13.42578125" bestFit="1" customWidth="1"/>
    <col min="8" max="8" width="11.28515625" hidden="1" customWidth="1"/>
    <col min="9" max="9" width="11.5703125" hidden="1" customWidth="1"/>
    <col min="10" max="10" width="8.85546875" hidden="1" customWidth="1"/>
    <col min="11" max="11" width="13.42578125" hidden="1" customWidth="1"/>
    <col min="12" max="12" width="24.42578125" bestFit="1" customWidth="1"/>
    <col min="13" max="13" width="11.5703125" bestFit="1" customWidth="1"/>
    <col min="15" max="15" width="11.42578125" bestFit="1" customWidth="1"/>
  </cols>
  <sheetData>
    <row r="1" spans="1:60" ht="18" x14ac:dyDescent="0.25">
      <c r="A1" s="11" t="s">
        <v>593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60" s="41" customFormat="1" ht="15.75" x14ac:dyDescent="0.25">
      <c r="A2" s="43" t="s">
        <v>689</v>
      </c>
      <c r="B2" s="46" t="s">
        <v>657</v>
      </c>
      <c r="C2" s="40" t="s">
        <v>11</v>
      </c>
      <c r="D2" s="40" t="s">
        <v>4</v>
      </c>
      <c r="E2" s="43" t="s">
        <v>5</v>
      </c>
      <c r="F2" s="40" t="s">
        <v>6</v>
      </c>
      <c r="G2" s="40" t="s">
        <v>8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pans="1:60" x14ac:dyDescent="0.25">
      <c r="A3" s="55">
        <v>1</v>
      </c>
      <c r="B3" s="48" t="s">
        <v>683</v>
      </c>
      <c r="C3" s="13">
        <v>6</v>
      </c>
      <c r="D3" s="13">
        <v>2</v>
      </c>
      <c r="E3" s="13">
        <v>1</v>
      </c>
      <c r="F3" s="13">
        <v>3</v>
      </c>
      <c r="G3" s="16">
        <f>IF(C3=0,0,D3/C3)</f>
        <v>0.33333333333333331</v>
      </c>
    </row>
    <row r="4" spans="1:60" x14ac:dyDescent="0.25">
      <c r="A4" s="55">
        <v>2</v>
      </c>
      <c r="B4" s="47" t="s">
        <v>688</v>
      </c>
      <c r="C4" s="13">
        <v>6</v>
      </c>
      <c r="D4" s="13">
        <f>COUNTIF(Scenarios!$B$2:$B$500,C4)</f>
        <v>0</v>
      </c>
      <c r="E4" s="13">
        <f>COUNTIF(Scenarios!$B$2:$B$500,D4)</f>
        <v>0</v>
      </c>
      <c r="F4" s="13">
        <v>6</v>
      </c>
      <c r="G4" s="16">
        <f>IF(C4=0,0,D4/C4)</f>
        <v>0</v>
      </c>
    </row>
    <row r="5" spans="1:60" x14ac:dyDescent="0.25">
      <c r="A5" s="55">
        <v>3</v>
      </c>
      <c r="B5" s="47" t="s">
        <v>684</v>
      </c>
      <c r="C5" s="13">
        <v>6</v>
      </c>
      <c r="D5" s="13">
        <f>COUNTIF(Scenarios!$B$2:$B$500,C5)</f>
        <v>0</v>
      </c>
      <c r="E5" s="13">
        <f>COUNTIF(Scenarios!$B$2:$B$500,D5)</f>
        <v>0</v>
      </c>
      <c r="F5" s="13">
        <v>6</v>
      </c>
      <c r="G5" s="16">
        <f>IF(C5=0,0,D5/C5)</f>
        <v>0</v>
      </c>
    </row>
    <row r="6" spans="1:60" x14ac:dyDescent="0.25">
      <c r="A6" s="55">
        <v>4</v>
      </c>
      <c r="B6" s="47" t="s">
        <v>685</v>
      </c>
      <c r="C6" s="13">
        <v>6</v>
      </c>
      <c r="D6" s="13">
        <f>COUNTIF(Scenarios!$B$2:$B$500,C6)</f>
        <v>0</v>
      </c>
      <c r="E6" s="13">
        <f>COUNTIF(Scenarios!$B$2:$B$500,D6)</f>
        <v>0</v>
      </c>
      <c r="F6" s="13">
        <v>6</v>
      </c>
      <c r="G6" s="16">
        <f>IF(C6=0,0,D6/C6)</f>
        <v>0</v>
      </c>
    </row>
    <row r="7" spans="1:60" x14ac:dyDescent="0.25">
      <c r="A7" s="55">
        <v>5</v>
      </c>
      <c r="B7" s="47" t="s">
        <v>686</v>
      </c>
      <c r="C7" s="13">
        <v>6</v>
      </c>
      <c r="D7" s="13">
        <f>COUNTIF(Scenarios!$B$2:$B$500,C7)</f>
        <v>0</v>
      </c>
      <c r="E7" s="13">
        <f>COUNTIF(Scenarios!$B$2:$B$500,D7)</f>
        <v>0</v>
      </c>
      <c r="F7" s="13">
        <v>6</v>
      </c>
      <c r="G7" s="16">
        <f>IF(C7=0,0,D7/C7)</f>
        <v>0</v>
      </c>
    </row>
    <row r="8" spans="1:60" x14ac:dyDescent="0.25">
      <c r="A8" s="55">
        <v>6</v>
      </c>
      <c r="B8" s="47" t="s">
        <v>687</v>
      </c>
      <c r="C8" s="13">
        <v>6</v>
      </c>
      <c r="D8" s="13">
        <f>COUNTIF(Scenarios!$B$2:$B$500,C8)</f>
        <v>0</v>
      </c>
      <c r="E8" s="13">
        <f>COUNTIF(Scenarios!$B$2:$B$500,D8)</f>
        <v>0</v>
      </c>
      <c r="F8" s="13">
        <v>6</v>
      </c>
      <c r="G8" s="16">
        <f>IF(C8=0,0,D8/C8)</f>
        <v>0</v>
      </c>
    </row>
    <row r="9" spans="1:60" x14ac:dyDescent="0.25">
      <c r="A9" s="17"/>
      <c r="B9" s="17" t="s">
        <v>11</v>
      </c>
      <c r="C9" s="17">
        <v>40</v>
      </c>
      <c r="D9" s="17">
        <v>2</v>
      </c>
      <c r="E9" s="17">
        <v>1</v>
      </c>
      <c r="F9" s="13">
        <v>6</v>
      </c>
      <c r="G9" s="18">
        <f>IF(C9=0,0,D9/C9)</f>
        <v>0.05</v>
      </c>
    </row>
    <row r="10" spans="1:60" x14ac:dyDescent="0.25">
      <c r="A10" s="43" t="s">
        <v>689</v>
      </c>
      <c r="B10" s="42" t="s">
        <v>0</v>
      </c>
      <c r="C10" s="40" t="s">
        <v>1</v>
      </c>
      <c r="D10" s="39" t="s">
        <v>33</v>
      </c>
      <c r="E10" s="40" t="s">
        <v>1</v>
      </c>
      <c r="F10" s="39" t="s">
        <v>28</v>
      </c>
      <c r="G10" s="40" t="s">
        <v>5</v>
      </c>
      <c r="H10" s="40" t="s">
        <v>6</v>
      </c>
      <c r="I10" s="44" t="s">
        <v>29</v>
      </c>
    </row>
    <row r="11" spans="1:60" x14ac:dyDescent="0.25">
      <c r="A11" s="55">
        <v>1</v>
      </c>
      <c r="B11" s="13" t="s">
        <v>3</v>
      </c>
      <c r="C11" s="13">
        <f>COUNTA(Scenarios!$A$2:$A$500)</f>
        <v>110</v>
      </c>
      <c r="D11" s="13" t="s">
        <v>34</v>
      </c>
      <c r="E11" s="13">
        <v>4</v>
      </c>
      <c r="F11" s="13" t="s">
        <v>30</v>
      </c>
      <c r="G11" s="13">
        <f>COUNTIFS(Scenarios!$F$2:$F$500,$F11,Scenarios!$E$2:$E$500,"In Progress")</f>
        <v>0</v>
      </c>
      <c r="H11" s="13">
        <f>COUNTIFS(Scenarios!$F$2:$F$500,$F11,Scenarios!$E$2:$E$500,"Pending")</f>
        <v>14</v>
      </c>
      <c r="I11" s="45">
        <f>G11+H11</f>
        <v>14</v>
      </c>
    </row>
    <row r="12" spans="1:60" x14ac:dyDescent="0.25">
      <c r="A12" s="55">
        <v>2</v>
      </c>
      <c r="B12" s="13" t="s">
        <v>4</v>
      </c>
      <c r="C12" s="13">
        <f>COUNTIF(Scenarios!$E$2:$E$500,"Completed")</f>
        <v>78</v>
      </c>
      <c r="D12" s="13" t="s">
        <v>35</v>
      </c>
      <c r="E12" s="13">
        <f>COUNTIF(Scenarios!$H$2:$H$500,D12)</f>
        <v>0</v>
      </c>
      <c r="F12" s="13" t="s">
        <v>31</v>
      </c>
      <c r="G12" s="13">
        <f>COUNTIFS(Scenarios!$F$2:$F$500,$F12,Scenarios!$E$2:$E$500,"In Progress")</f>
        <v>1</v>
      </c>
      <c r="H12" s="13">
        <f>COUNTIFS(Scenarios!$F$2:$F$500,$F12,Scenarios!$E$2:$E$500,"Pending")</f>
        <v>13</v>
      </c>
      <c r="I12" s="45">
        <f>G12+H12</f>
        <v>14</v>
      </c>
    </row>
    <row r="13" spans="1:60" x14ac:dyDescent="0.25">
      <c r="A13" s="55">
        <v>3</v>
      </c>
      <c r="B13" s="13" t="s">
        <v>5</v>
      </c>
      <c r="C13" s="13">
        <f>COUNTIF(Scenarios!$E$2:$E$500,"In Progress")</f>
        <v>1</v>
      </c>
      <c r="D13" s="13" t="s">
        <v>36</v>
      </c>
      <c r="E13" s="13">
        <f>COUNTIF(Scenarios!$H$2:$H$500,D13)</f>
        <v>0</v>
      </c>
      <c r="F13" s="13" t="s">
        <v>32</v>
      </c>
      <c r="G13" s="13">
        <f>COUNTIFS(Scenarios!$F$2:$F$500,$F13,Scenarios!$E$2:$E$500,"In Progress")</f>
        <v>0</v>
      </c>
      <c r="H13" s="13">
        <f>COUNTIFS(Scenarios!$F$2:$F$500,$F13,Scenarios!$E$2:$E$500,"Pending")</f>
        <v>1</v>
      </c>
      <c r="I13" s="45">
        <f>G13+H13</f>
        <v>1</v>
      </c>
    </row>
    <row r="14" spans="1:60" x14ac:dyDescent="0.25">
      <c r="A14" s="55">
        <v>4</v>
      </c>
      <c r="B14" s="13" t="s">
        <v>6</v>
      </c>
      <c r="C14" s="13">
        <f>COUNTIF(Scenarios!$E$2:$E$500,"Pending")</f>
        <v>28</v>
      </c>
      <c r="D14" s="13" t="s">
        <v>37</v>
      </c>
      <c r="E14" s="13">
        <v>1</v>
      </c>
    </row>
    <row r="15" spans="1:60" x14ac:dyDescent="0.25">
      <c r="A15" s="55">
        <v>5</v>
      </c>
      <c r="B15" s="13" t="s">
        <v>7</v>
      </c>
      <c r="C15" s="13">
        <v>2</v>
      </c>
    </row>
    <row r="16" spans="1:60" x14ac:dyDescent="0.25">
      <c r="A16" s="55">
        <v>6</v>
      </c>
      <c r="B16" s="14" t="s">
        <v>8</v>
      </c>
      <c r="C16" s="15">
        <f>IF(C11=0,0,C12/C11)</f>
        <v>0.70909090909090911</v>
      </c>
    </row>
    <row r="17" spans="1:3" x14ac:dyDescent="0.25">
      <c r="A17" s="55">
        <v>7</v>
      </c>
      <c r="B17" s="13" t="s">
        <v>9</v>
      </c>
      <c r="C17" s="13">
        <f>COUNTA('To Add'!$A$2:$A$197)</f>
        <v>28</v>
      </c>
    </row>
    <row r="43" spans="2:2" x14ac:dyDescent="0.25">
      <c r="B43" s="2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37C0-8ACC-4F3D-8A4F-41E58956DC68}">
  <dimension ref="A1:E28"/>
  <sheetViews>
    <sheetView workbookViewId="0">
      <selection activeCell="C10" sqref="C10"/>
    </sheetView>
  </sheetViews>
  <sheetFormatPr defaultRowHeight="15" x14ac:dyDescent="0.25"/>
  <cols>
    <col min="1" max="1" width="5" style="10" bestFit="1" customWidth="1"/>
    <col min="2" max="2" width="25.5703125" bestFit="1" customWidth="1"/>
    <col min="3" max="3" width="84.42578125" bestFit="1" customWidth="1"/>
    <col min="4" max="4" width="30.28515625" bestFit="1" customWidth="1"/>
    <col min="5" max="5" width="23" style="10" customWidth="1"/>
  </cols>
  <sheetData>
    <row r="1" spans="1:5" x14ac:dyDescent="0.25">
      <c r="A1" s="37" t="s">
        <v>655</v>
      </c>
      <c r="B1" s="37"/>
      <c r="C1" s="37"/>
      <c r="D1" s="37"/>
      <c r="E1" s="37"/>
    </row>
    <row r="2" spans="1:5" x14ac:dyDescent="0.25">
      <c r="A2" s="50" t="s">
        <v>605</v>
      </c>
      <c r="B2" s="51"/>
      <c r="C2" s="33"/>
      <c r="D2" s="33"/>
      <c r="E2" s="34"/>
    </row>
    <row r="3" spans="1:5" s="32" customFormat="1" x14ac:dyDescent="0.25">
      <c r="A3" s="52" t="s">
        <v>606</v>
      </c>
      <c r="B3" s="35" t="s">
        <v>39</v>
      </c>
      <c r="C3" s="35" t="s">
        <v>607</v>
      </c>
      <c r="D3" s="35" t="s">
        <v>380</v>
      </c>
      <c r="E3" s="35" t="s">
        <v>654</v>
      </c>
    </row>
    <row r="4" spans="1:5" x14ac:dyDescent="0.25">
      <c r="A4" s="49">
        <v>1</v>
      </c>
      <c r="B4" s="33" t="s">
        <v>608</v>
      </c>
      <c r="C4" s="33" t="s">
        <v>609</v>
      </c>
      <c r="D4" s="33" t="s">
        <v>610</v>
      </c>
      <c r="E4" s="38" t="s">
        <v>4</v>
      </c>
    </row>
    <row r="5" spans="1:5" x14ac:dyDescent="0.25">
      <c r="A5" s="49">
        <v>2</v>
      </c>
      <c r="B5" s="33" t="s">
        <v>611</v>
      </c>
      <c r="C5" s="33" t="s">
        <v>612</v>
      </c>
      <c r="D5" s="33" t="s">
        <v>613</v>
      </c>
      <c r="E5" s="38" t="s">
        <v>4</v>
      </c>
    </row>
    <row r="6" spans="1:5" x14ac:dyDescent="0.25">
      <c r="A6" s="49">
        <v>3</v>
      </c>
      <c r="B6" s="33" t="s">
        <v>614</v>
      </c>
      <c r="C6" s="33" t="s">
        <v>615</v>
      </c>
      <c r="D6" s="33" t="s">
        <v>616</v>
      </c>
      <c r="E6" s="38" t="s">
        <v>4</v>
      </c>
    </row>
    <row r="7" spans="1:5" x14ac:dyDescent="0.25">
      <c r="A7" s="49">
        <v>4</v>
      </c>
      <c r="B7" s="33" t="s">
        <v>611</v>
      </c>
      <c r="C7" s="33" t="s">
        <v>617</v>
      </c>
      <c r="D7" s="33" t="s">
        <v>618</v>
      </c>
      <c r="E7" s="34"/>
    </row>
    <row r="8" spans="1:5" x14ac:dyDescent="0.25">
      <c r="A8" s="49">
        <v>5</v>
      </c>
      <c r="B8" s="33" t="s">
        <v>619</v>
      </c>
      <c r="C8" s="33" t="s">
        <v>620</v>
      </c>
      <c r="D8" s="33" t="s">
        <v>621</v>
      </c>
      <c r="E8" s="34"/>
    </row>
    <row r="9" spans="1:5" x14ac:dyDescent="0.25">
      <c r="A9" s="49">
        <v>6</v>
      </c>
      <c r="B9" s="33" t="s">
        <v>622</v>
      </c>
      <c r="C9" s="33" t="s">
        <v>623</v>
      </c>
      <c r="D9" s="33" t="s">
        <v>624</v>
      </c>
      <c r="E9" s="34"/>
    </row>
    <row r="10" spans="1:5" x14ac:dyDescent="0.25">
      <c r="A10" s="49">
        <v>7</v>
      </c>
      <c r="B10" s="33" t="s">
        <v>625</v>
      </c>
      <c r="C10" s="33" t="s">
        <v>620</v>
      </c>
      <c r="D10" s="33" t="s">
        <v>626</v>
      </c>
      <c r="E10" s="34"/>
    </row>
    <row r="11" spans="1:5" x14ac:dyDescent="0.25">
      <c r="A11" s="49">
        <v>8</v>
      </c>
      <c r="B11" s="33" t="s">
        <v>611</v>
      </c>
      <c r="C11" s="33" t="s">
        <v>627</v>
      </c>
      <c r="D11" s="33" t="s">
        <v>628</v>
      </c>
      <c r="E11" s="34"/>
    </row>
    <row r="12" spans="1:5" x14ac:dyDescent="0.25">
      <c r="A12" s="50" t="s">
        <v>629</v>
      </c>
      <c r="B12" s="51"/>
      <c r="C12" s="33"/>
      <c r="D12" s="33"/>
      <c r="E12" s="34"/>
    </row>
    <row r="13" spans="1:5" x14ac:dyDescent="0.25">
      <c r="A13" s="52" t="s">
        <v>606</v>
      </c>
      <c r="B13" s="36" t="s">
        <v>39</v>
      </c>
      <c r="C13" s="36" t="s">
        <v>607</v>
      </c>
      <c r="D13" s="36" t="s">
        <v>380</v>
      </c>
      <c r="E13" s="35" t="s">
        <v>654</v>
      </c>
    </row>
    <row r="14" spans="1:5" x14ac:dyDescent="0.25">
      <c r="A14" s="49">
        <v>1</v>
      </c>
      <c r="B14" s="33" t="s">
        <v>608</v>
      </c>
      <c r="C14" s="33" t="s">
        <v>630</v>
      </c>
      <c r="D14" s="33" t="s">
        <v>631</v>
      </c>
      <c r="E14" s="38" t="s">
        <v>4</v>
      </c>
    </row>
    <row r="15" spans="1:5" x14ac:dyDescent="0.25">
      <c r="A15" s="49">
        <v>2</v>
      </c>
      <c r="B15" s="33" t="s">
        <v>614</v>
      </c>
      <c r="C15" s="33" t="s">
        <v>615</v>
      </c>
      <c r="D15" s="33" t="s">
        <v>616</v>
      </c>
      <c r="E15" s="38" t="s">
        <v>4</v>
      </c>
    </row>
    <row r="16" spans="1:5" x14ac:dyDescent="0.25">
      <c r="A16" s="49">
        <v>3</v>
      </c>
      <c r="B16" s="33" t="s">
        <v>625</v>
      </c>
      <c r="C16" s="33" t="s">
        <v>620</v>
      </c>
      <c r="D16" s="33" t="s">
        <v>632</v>
      </c>
      <c r="E16" s="34"/>
    </row>
    <row r="17" spans="1:5" x14ac:dyDescent="0.25">
      <c r="A17" s="49">
        <v>4</v>
      </c>
      <c r="B17" s="33" t="s">
        <v>611</v>
      </c>
      <c r="C17" s="33" t="s">
        <v>627</v>
      </c>
      <c r="D17" s="33" t="s">
        <v>633</v>
      </c>
      <c r="E17" s="34"/>
    </row>
    <row r="18" spans="1:5" x14ac:dyDescent="0.25">
      <c r="A18" s="50" t="s">
        <v>634</v>
      </c>
      <c r="B18" s="51"/>
      <c r="C18" s="33"/>
      <c r="D18" s="33"/>
      <c r="E18" s="34"/>
    </row>
    <row r="19" spans="1:5" x14ac:dyDescent="0.25">
      <c r="A19" s="52" t="s">
        <v>606</v>
      </c>
      <c r="B19" s="36" t="s">
        <v>39</v>
      </c>
      <c r="C19" s="36" t="s">
        <v>607</v>
      </c>
      <c r="D19" s="36" t="s">
        <v>380</v>
      </c>
      <c r="E19" s="35" t="s">
        <v>654</v>
      </c>
    </row>
    <row r="20" spans="1:5" x14ac:dyDescent="0.25">
      <c r="A20" s="49">
        <v>1</v>
      </c>
      <c r="B20" s="33" t="s">
        <v>635</v>
      </c>
      <c r="C20" s="33" t="s">
        <v>620</v>
      </c>
      <c r="D20" s="33" t="s">
        <v>631</v>
      </c>
      <c r="E20" s="38" t="s">
        <v>4</v>
      </c>
    </row>
    <row r="21" spans="1:5" x14ac:dyDescent="0.25">
      <c r="A21" s="49">
        <v>2</v>
      </c>
      <c r="B21" s="33" t="s">
        <v>614</v>
      </c>
      <c r="C21" s="33" t="s">
        <v>615</v>
      </c>
      <c r="D21" s="33" t="s">
        <v>616</v>
      </c>
      <c r="E21" s="38" t="s">
        <v>4</v>
      </c>
    </row>
    <row r="22" spans="1:5" x14ac:dyDescent="0.25">
      <c r="A22" s="49">
        <v>3</v>
      </c>
      <c r="B22" s="33" t="s">
        <v>636</v>
      </c>
      <c r="C22" s="33" t="s">
        <v>637</v>
      </c>
      <c r="D22" s="33" t="s">
        <v>638</v>
      </c>
      <c r="E22" s="34"/>
    </row>
    <row r="23" spans="1:5" x14ac:dyDescent="0.25">
      <c r="A23" s="49">
        <v>4</v>
      </c>
      <c r="B23" s="33" t="s">
        <v>639</v>
      </c>
      <c r="C23" s="33" t="s">
        <v>640</v>
      </c>
      <c r="D23" s="33" t="s">
        <v>641</v>
      </c>
      <c r="E23" s="34"/>
    </row>
    <row r="24" spans="1:5" x14ac:dyDescent="0.25">
      <c r="A24" s="49">
        <v>5</v>
      </c>
      <c r="B24" s="33" t="s">
        <v>642</v>
      </c>
      <c r="C24" s="33" t="s">
        <v>643</v>
      </c>
      <c r="D24" s="33" t="s">
        <v>644</v>
      </c>
      <c r="E24" s="34"/>
    </row>
    <row r="25" spans="1:5" x14ac:dyDescent="0.25">
      <c r="A25" s="49">
        <v>6</v>
      </c>
      <c r="B25" s="33" t="s">
        <v>645</v>
      </c>
      <c r="C25" s="33" t="s">
        <v>646</v>
      </c>
      <c r="D25" s="33" t="s">
        <v>647</v>
      </c>
      <c r="E25" s="34"/>
    </row>
    <row r="26" spans="1:5" x14ac:dyDescent="0.25">
      <c r="A26" s="49">
        <v>7</v>
      </c>
      <c r="B26" s="33" t="s">
        <v>648</v>
      </c>
      <c r="C26" s="33" t="s">
        <v>649</v>
      </c>
      <c r="D26" s="33" t="s">
        <v>650</v>
      </c>
      <c r="E26" s="34"/>
    </row>
    <row r="27" spans="1:5" x14ac:dyDescent="0.25">
      <c r="A27" s="49">
        <v>8</v>
      </c>
      <c r="B27" s="33" t="s">
        <v>651</v>
      </c>
      <c r="C27" s="33" t="s">
        <v>652</v>
      </c>
      <c r="D27" s="33" t="s">
        <v>653</v>
      </c>
      <c r="E27" s="34"/>
    </row>
    <row r="28" spans="1:5" x14ac:dyDescent="0.25">
      <c r="A28" s="49">
        <v>9</v>
      </c>
      <c r="B28" s="33" t="s">
        <v>611</v>
      </c>
      <c r="C28" s="33" t="s">
        <v>627</v>
      </c>
      <c r="D28" s="33" t="s">
        <v>633</v>
      </c>
      <c r="E28" s="34"/>
    </row>
  </sheetData>
  <mergeCells count="4">
    <mergeCell ref="A1:E1"/>
    <mergeCell ref="A2:B2"/>
    <mergeCell ref="A12:B12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2736-65AB-418D-9961-36B4FC8B968C}">
  <dimension ref="A1:E27"/>
  <sheetViews>
    <sheetView workbookViewId="0">
      <selection activeCell="C13" sqref="C13"/>
    </sheetView>
  </sheetViews>
  <sheetFormatPr defaultRowHeight="15" x14ac:dyDescent="0.25"/>
  <cols>
    <col min="1" max="1" width="5" style="10" bestFit="1" customWidth="1"/>
    <col min="2" max="2" width="26.28515625" bestFit="1" customWidth="1"/>
    <col min="3" max="3" width="64.140625" bestFit="1" customWidth="1"/>
    <col min="4" max="4" width="30.42578125" bestFit="1" customWidth="1"/>
    <col min="5" max="5" width="19.140625" bestFit="1" customWidth="1"/>
  </cols>
  <sheetData>
    <row r="1" spans="1:5" x14ac:dyDescent="0.25">
      <c r="A1" s="37" t="s">
        <v>682</v>
      </c>
      <c r="B1" s="37"/>
      <c r="C1" s="37"/>
      <c r="D1" s="37"/>
      <c r="E1" s="37"/>
    </row>
    <row r="2" spans="1:5" x14ac:dyDescent="0.25">
      <c r="A2" s="53" t="s">
        <v>679</v>
      </c>
      <c r="B2" s="54"/>
      <c r="C2" s="12"/>
      <c r="D2" s="12"/>
    </row>
    <row r="3" spans="1:5" x14ac:dyDescent="0.25">
      <c r="A3" s="52" t="s">
        <v>606</v>
      </c>
      <c r="B3" s="36" t="s">
        <v>39</v>
      </c>
      <c r="C3" s="36" t="s">
        <v>607</v>
      </c>
      <c r="D3" s="36" t="s">
        <v>380</v>
      </c>
      <c r="E3" s="35" t="s">
        <v>654</v>
      </c>
    </row>
    <row r="4" spans="1:5" x14ac:dyDescent="0.25">
      <c r="A4" s="49">
        <v>1</v>
      </c>
      <c r="B4" s="33" t="s">
        <v>658</v>
      </c>
      <c r="C4" s="33" t="s">
        <v>672</v>
      </c>
      <c r="D4" s="33" t="s">
        <v>631</v>
      </c>
      <c r="E4" s="34"/>
    </row>
    <row r="5" spans="1:5" x14ac:dyDescent="0.25">
      <c r="A5" s="49">
        <v>2</v>
      </c>
      <c r="B5" s="33" t="s">
        <v>611</v>
      </c>
      <c r="C5" s="33" t="s">
        <v>612</v>
      </c>
      <c r="D5" s="33" t="s">
        <v>673</v>
      </c>
      <c r="E5" s="34"/>
    </row>
    <row r="6" spans="1:5" x14ac:dyDescent="0.25">
      <c r="A6" s="49">
        <v>3</v>
      </c>
      <c r="B6" s="33" t="s">
        <v>614</v>
      </c>
      <c r="C6" s="33" t="s">
        <v>615</v>
      </c>
      <c r="D6" s="33" t="s">
        <v>616</v>
      </c>
      <c r="E6" s="34"/>
    </row>
    <row r="7" spans="1:5" x14ac:dyDescent="0.25">
      <c r="A7" s="49">
        <v>4</v>
      </c>
      <c r="B7" s="33" t="s">
        <v>619</v>
      </c>
      <c r="C7" s="33" t="s">
        <v>659</v>
      </c>
      <c r="D7" s="33" t="s">
        <v>674</v>
      </c>
      <c r="E7" s="34"/>
    </row>
    <row r="8" spans="1:5" x14ac:dyDescent="0.25">
      <c r="A8" s="49">
        <v>5</v>
      </c>
      <c r="B8" s="33" t="s">
        <v>622</v>
      </c>
      <c r="C8" s="33" t="s">
        <v>623</v>
      </c>
      <c r="D8" s="33" t="s">
        <v>624</v>
      </c>
      <c r="E8" s="34"/>
    </row>
    <row r="9" spans="1:5" x14ac:dyDescent="0.25">
      <c r="A9" s="49">
        <v>6</v>
      </c>
      <c r="B9" s="33" t="s">
        <v>675</v>
      </c>
      <c r="C9" s="33" t="s">
        <v>659</v>
      </c>
      <c r="D9" s="33" t="s">
        <v>676</v>
      </c>
      <c r="E9" s="34"/>
    </row>
    <row r="10" spans="1:5" x14ac:dyDescent="0.25">
      <c r="A10" s="49">
        <v>7</v>
      </c>
      <c r="B10" s="33" t="s">
        <v>611</v>
      </c>
      <c r="C10" s="33" t="s">
        <v>677</v>
      </c>
      <c r="D10" s="33" t="s">
        <v>633</v>
      </c>
      <c r="E10" s="34"/>
    </row>
    <row r="11" spans="1:5" x14ac:dyDescent="0.25">
      <c r="A11" s="53" t="s">
        <v>680</v>
      </c>
      <c r="B11" s="54"/>
      <c r="C11" s="12"/>
      <c r="D11" s="12"/>
      <c r="E11" s="34"/>
    </row>
    <row r="12" spans="1:5" x14ac:dyDescent="0.25">
      <c r="A12" s="52" t="s">
        <v>606</v>
      </c>
      <c r="B12" s="36" t="s">
        <v>39</v>
      </c>
      <c r="C12" s="36" t="s">
        <v>607</v>
      </c>
      <c r="D12" s="36" t="s">
        <v>380</v>
      </c>
      <c r="E12" s="35" t="s">
        <v>654</v>
      </c>
    </row>
    <row r="13" spans="1:5" x14ac:dyDescent="0.25">
      <c r="A13" s="49">
        <v>1</v>
      </c>
      <c r="B13" s="33" t="s">
        <v>658</v>
      </c>
      <c r="C13" s="33" t="s">
        <v>678</v>
      </c>
      <c r="D13" s="33" t="s">
        <v>631</v>
      </c>
      <c r="E13" s="34"/>
    </row>
    <row r="14" spans="1:5" x14ac:dyDescent="0.25">
      <c r="A14" s="49">
        <v>2</v>
      </c>
      <c r="B14" s="33" t="s">
        <v>614</v>
      </c>
      <c r="C14" s="33" t="s">
        <v>615</v>
      </c>
      <c r="D14" s="33" t="s">
        <v>616</v>
      </c>
      <c r="E14" s="34"/>
    </row>
    <row r="15" spans="1:5" x14ac:dyDescent="0.25">
      <c r="A15" s="49">
        <v>3</v>
      </c>
      <c r="B15" s="33" t="s">
        <v>675</v>
      </c>
      <c r="C15" s="33" t="s">
        <v>659</v>
      </c>
      <c r="D15" s="33" t="s">
        <v>676</v>
      </c>
      <c r="E15" s="34"/>
    </row>
    <row r="16" spans="1:5" x14ac:dyDescent="0.25">
      <c r="A16" s="49">
        <v>4</v>
      </c>
      <c r="B16" s="33" t="s">
        <v>611</v>
      </c>
      <c r="C16" s="33" t="s">
        <v>677</v>
      </c>
      <c r="D16" s="33" t="s">
        <v>633</v>
      </c>
      <c r="E16" s="34"/>
    </row>
    <row r="17" spans="1:5" x14ac:dyDescent="0.25">
      <c r="A17" s="53" t="s">
        <v>681</v>
      </c>
      <c r="B17" s="54"/>
      <c r="C17" s="12"/>
      <c r="D17" s="12"/>
      <c r="E17" s="34"/>
    </row>
    <row r="18" spans="1:5" x14ac:dyDescent="0.25">
      <c r="A18" s="52" t="s">
        <v>606</v>
      </c>
      <c r="B18" s="36" t="s">
        <v>39</v>
      </c>
      <c r="C18" s="36" t="s">
        <v>607</v>
      </c>
      <c r="D18" s="36" t="s">
        <v>380</v>
      </c>
      <c r="E18" s="35" t="s">
        <v>654</v>
      </c>
    </row>
    <row r="19" spans="1:5" x14ac:dyDescent="0.25">
      <c r="A19" s="49">
        <v>1</v>
      </c>
      <c r="B19" s="33" t="s">
        <v>658</v>
      </c>
      <c r="C19" s="33" t="s">
        <v>659</v>
      </c>
      <c r="D19" s="33" t="s">
        <v>631</v>
      </c>
      <c r="E19" s="34"/>
    </row>
    <row r="20" spans="1:5" x14ac:dyDescent="0.25">
      <c r="A20" s="49">
        <v>2</v>
      </c>
      <c r="B20" s="33" t="s">
        <v>614</v>
      </c>
      <c r="C20" s="33" t="s">
        <v>615</v>
      </c>
      <c r="D20" s="33" t="s">
        <v>616</v>
      </c>
      <c r="E20" s="34"/>
    </row>
    <row r="21" spans="1:5" x14ac:dyDescent="0.25">
      <c r="A21" s="49">
        <v>3</v>
      </c>
      <c r="B21" s="33" t="s">
        <v>636</v>
      </c>
      <c r="C21" s="33" t="s">
        <v>660</v>
      </c>
      <c r="D21" s="33" t="s">
        <v>638</v>
      </c>
      <c r="E21" s="34"/>
    </row>
    <row r="22" spans="1:5" x14ac:dyDescent="0.25">
      <c r="A22" s="49">
        <v>4</v>
      </c>
      <c r="B22" s="33" t="s">
        <v>656</v>
      </c>
      <c r="C22" s="33" t="s">
        <v>661</v>
      </c>
      <c r="D22" s="33" t="s">
        <v>641</v>
      </c>
      <c r="E22" s="34"/>
    </row>
    <row r="23" spans="1:5" x14ac:dyDescent="0.25">
      <c r="A23" s="49">
        <v>5</v>
      </c>
      <c r="B23" s="33" t="s">
        <v>662</v>
      </c>
      <c r="C23" s="33" t="s">
        <v>643</v>
      </c>
      <c r="D23" s="33" t="s">
        <v>644</v>
      </c>
      <c r="E23" s="34"/>
    </row>
    <row r="24" spans="1:5" x14ac:dyDescent="0.25">
      <c r="A24" s="49">
        <v>6</v>
      </c>
      <c r="B24" s="33" t="s">
        <v>663</v>
      </c>
      <c r="C24" s="33" t="s">
        <v>646</v>
      </c>
      <c r="D24" s="33" t="s">
        <v>664</v>
      </c>
      <c r="E24" s="34"/>
    </row>
    <row r="25" spans="1:5" x14ac:dyDescent="0.25">
      <c r="A25" s="49">
        <v>7</v>
      </c>
      <c r="B25" s="33" t="s">
        <v>648</v>
      </c>
      <c r="C25" s="33" t="s">
        <v>649</v>
      </c>
      <c r="D25" s="33" t="s">
        <v>665</v>
      </c>
      <c r="E25" s="34"/>
    </row>
    <row r="26" spans="1:5" x14ac:dyDescent="0.25">
      <c r="A26" s="49">
        <v>8</v>
      </c>
      <c r="B26" s="33" t="s">
        <v>666</v>
      </c>
      <c r="C26" s="33" t="s">
        <v>667</v>
      </c>
      <c r="D26" s="33" t="s">
        <v>668</v>
      </c>
      <c r="E26" s="34"/>
    </row>
    <row r="27" spans="1:5" x14ac:dyDescent="0.25">
      <c r="A27" s="49">
        <v>9</v>
      </c>
      <c r="B27" s="33" t="s">
        <v>669</v>
      </c>
      <c r="C27" s="33" t="s">
        <v>670</v>
      </c>
      <c r="D27" s="33" t="s">
        <v>671</v>
      </c>
      <c r="E27" s="34"/>
    </row>
  </sheetData>
  <mergeCells count="4">
    <mergeCell ref="A1:E1"/>
    <mergeCell ref="A2:B2"/>
    <mergeCell ref="A11:B11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9" sqref="F9"/>
    </sheetView>
  </sheetViews>
  <sheetFormatPr defaultColWidth="8.7109375" defaultRowHeight="15" x14ac:dyDescent="0.25"/>
  <cols>
    <col min="1" max="1" width="6.7109375" style="10" bestFit="1" customWidth="1"/>
    <col min="2" max="2" width="10" customWidth="1"/>
    <col min="3" max="3" width="26" customWidth="1"/>
    <col min="4" max="4" width="46" customWidth="1"/>
    <col min="5" max="5" width="18" customWidth="1"/>
    <col min="6" max="6" width="26" customWidth="1"/>
    <col min="7" max="7" width="38" customWidth="1"/>
    <col min="8" max="8" width="10" customWidth="1"/>
    <col min="9" max="9" width="70" customWidth="1"/>
  </cols>
  <sheetData>
    <row r="1" spans="1:9" x14ac:dyDescent="0.25">
      <c r="A1" s="19" t="s">
        <v>476</v>
      </c>
      <c r="B1" s="6" t="s">
        <v>379</v>
      </c>
      <c r="C1" s="6" t="s">
        <v>477</v>
      </c>
      <c r="D1" s="6" t="s">
        <v>478</v>
      </c>
      <c r="E1" s="6" t="s">
        <v>479</v>
      </c>
      <c r="F1" s="6" t="s">
        <v>480</v>
      </c>
      <c r="G1" s="6" t="s">
        <v>481</v>
      </c>
      <c r="H1" s="6" t="s">
        <v>482</v>
      </c>
      <c r="I1" s="6" t="s">
        <v>483</v>
      </c>
    </row>
    <row r="2" spans="1:9" x14ac:dyDescent="0.25">
      <c r="A2" s="1">
        <v>1</v>
      </c>
      <c r="B2" s="5" t="s">
        <v>484</v>
      </c>
      <c r="C2" s="5" t="s">
        <v>485</v>
      </c>
      <c r="D2" s="5" t="s">
        <v>486</v>
      </c>
      <c r="E2" s="5" t="s">
        <v>487</v>
      </c>
      <c r="F2" s="5" t="s">
        <v>488</v>
      </c>
      <c r="G2" s="5" t="s">
        <v>489</v>
      </c>
      <c r="H2" s="7" t="s">
        <v>490</v>
      </c>
      <c r="I2" s="5"/>
    </row>
    <row r="3" spans="1:9" ht="25.5" x14ac:dyDescent="0.25">
      <c r="A3" s="1">
        <v>2</v>
      </c>
      <c r="B3" s="5" t="s">
        <v>491</v>
      </c>
      <c r="C3" s="5" t="s">
        <v>492</v>
      </c>
      <c r="D3" s="5" t="s">
        <v>493</v>
      </c>
      <c r="E3" s="5" t="s">
        <v>494</v>
      </c>
      <c r="F3" s="5" t="s">
        <v>495</v>
      </c>
      <c r="G3" s="5" t="s">
        <v>496</v>
      </c>
      <c r="H3" s="7" t="s">
        <v>490</v>
      </c>
      <c r="I3" s="5"/>
    </row>
    <row r="4" spans="1:9" x14ac:dyDescent="0.25">
      <c r="A4" s="1">
        <v>3</v>
      </c>
      <c r="B4" s="5" t="s">
        <v>491</v>
      </c>
      <c r="C4" s="5" t="s">
        <v>497</v>
      </c>
      <c r="D4" s="5" t="s">
        <v>498</v>
      </c>
      <c r="E4" s="5" t="s">
        <v>499</v>
      </c>
      <c r="F4" s="5" t="s">
        <v>500</v>
      </c>
      <c r="G4" s="5" t="s">
        <v>501</v>
      </c>
      <c r="H4" s="7" t="s">
        <v>490</v>
      </c>
      <c r="I4" s="5"/>
    </row>
    <row r="5" spans="1:9" x14ac:dyDescent="0.25">
      <c r="A5" s="1">
        <v>4</v>
      </c>
      <c r="B5" s="5" t="s">
        <v>491</v>
      </c>
      <c r="C5" s="5" t="s">
        <v>502</v>
      </c>
      <c r="D5" s="5" t="s">
        <v>503</v>
      </c>
      <c r="E5" s="5" t="s">
        <v>504</v>
      </c>
      <c r="F5" s="5" t="s">
        <v>505</v>
      </c>
      <c r="G5" s="5" t="s">
        <v>506</v>
      </c>
      <c r="H5" s="7" t="s">
        <v>490</v>
      </c>
      <c r="I5" s="5"/>
    </row>
    <row r="6" spans="1:9" x14ac:dyDescent="0.25">
      <c r="A6" s="1">
        <v>5</v>
      </c>
      <c r="B6" s="5" t="s">
        <v>491</v>
      </c>
      <c r="C6" s="5" t="s">
        <v>507</v>
      </c>
      <c r="D6" s="5" t="s">
        <v>508</v>
      </c>
      <c r="E6" s="5" t="s">
        <v>504</v>
      </c>
      <c r="F6" s="5" t="s">
        <v>505</v>
      </c>
      <c r="G6" s="5" t="s">
        <v>509</v>
      </c>
      <c r="H6" s="7" t="s">
        <v>490</v>
      </c>
      <c r="I6" s="5" t="s">
        <v>510</v>
      </c>
    </row>
    <row r="7" spans="1:9" x14ac:dyDescent="0.25">
      <c r="A7" s="1">
        <v>6</v>
      </c>
      <c r="B7" s="5" t="s">
        <v>511</v>
      </c>
      <c r="C7" s="5" t="s">
        <v>512</v>
      </c>
      <c r="D7" s="5" t="s">
        <v>513</v>
      </c>
      <c r="E7" s="5" t="s">
        <v>514</v>
      </c>
      <c r="F7" s="5" t="s">
        <v>515</v>
      </c>
      <c r="G7" s="5" t="s">
        <v>516</v>
      </c>
      <c r="H7" s="7" t="s">
        <v>490</v>
      </c>
      <c r="I7" s="5" t="s">
        <v>517</v>
      </c>
    </row>
    <row r="8" spans="1:9" x14ac:dyDescent="0.25">
      <c r="A8" s="1">
        <v>7</v>
      </c>
      <c r="B8" s="5" t="s">
        <v>491</v>
      </c>
      <c r="C8" s="5" t="s">
        <v>518</v>
      </c>
      <c r="D8" s="5" t="s">
        <v>519</v>
      </c>
      <c r="E8" s="5" t="s">
        <v>520</v>
      </c>
      <c r="F8" s="5" t="s">
        <v>512</v>
      </c>
      <c r="G8" s="5" t="s">
        <v>521</v>
      </c>
      <c r="H8" s="7" t="s">
        <v>490</v>
      </c>
      <c r="I8" s="5"/>
    </row>
    <row r="9" spans="1:9" ht="25.5" x14ac:dyDescent="0.25">
      <c r="A9" s="1">
        <v>8</v>
      </c>
      <c r="B9" s="5" t="s">
        <v>491</v>
      </c>
      <c r="C9" s="5" t="s">
        <v>522</v>
      </c>
      <c r="D9" s="5" t="s">
        <v>523</v>
      </c>
      <c r="E9" s="5" t="s">
        <v>524</v>
      </c>
      <c r="F9" s="5" t="s">
        <v>525</v>
      </c>
      <c r="G9" s="5" t="s">
        <v>526</v>
      </c>
      <c r="H9" s="8" t="s">
        <v>527</v>
      </c>
      <c r="I9" s="5" t="s">
        <v>528</v>
      </c>
    </row>
    <row r="10" spans="1:9" x14ac:dyDescent="0.25">
      <c r="A10" s="1">
        <v>9</v>
      </c>
      <c r="B10" s="5" t="s">
        <v>491</v>
      </c>
      <c r="C10" s="5" t="s">
        <v>529</v>
      </c>
      <c r="D10" s="5" t="s">
        <v>530</v>
      </c>
      <c r="E10" s="5" t="s">
        <v>531</v>
      </c>
      <c r="F10" s="5" t="s">
        <v>532</v>
      </c>
      <c r="G10" s="5" t="s">
        <v>533</v>
      </c>
      <c r="H10" s="7" t="s">
        <v>490</v>
      </c>
      <c r="I10" s="5"/>
    </row>
    <row r="11" spans="1:9" x14ac:dyDescent="0.25">
      <c r="A11" s="1">
        <v>10</v>
      </c>
      <c r="B11" s="5" t="s">
        <v>491</v>
      </c>
      <c r="C11" s="5" t="s">
        <v>534</v>
      </c>
      <c r="D11" s="5" t="s">
        <v>535</v>
      </c>
      <c r="E11" s="5" t="s">
        <v>531</v>
      </c>
      <c r="F11" s="5" t="s">
        <v>532</v>
      </c>
      <c r="G11" s="5" t="s">
        <v>536</v>
      </c>
      <c r="H11" s="7" t="s">
        <v>490</v>
      </c>
      <c r="I11" s="5"/>
    </row>
    <row r="12" spans="1:9" x14ac:dyDescent="0.25">
      <c r="A12" s="1">
        <v>11</v>
      </c>
      <c r="B12" s="5" t="s">
        <v>491</v>
      </c>
      <c r="C12" s="5" t="s">
        <v>537</v>
      </c>
      <c r="D12" s="5" t="s">
        <v>538</v>
      </c>
      <c r="E12" s="5" t="s">
        <v>531</v>
      </c>
      <c r="F12" s="5" t="s">
        <v>532</v>
      </c>
      <c r="G12" s="5" t="s">
        <v>539</v>
      </c>
      <c r="H12" s="7" t="s">
        <v>490</v>
      </c>
      <c r="I12" s="5" t="s">
        <v>540</v>
      </c>
    </row>
    <row r="13" spans="1:9" x14ac:dyDescent="0.25">
      <c r="A13" s="1">
        <v>12</v>
      </c>
      <c r="B13" s="5" t="s">
        <v>491</v>
      </c>
      <c r="C13" s="5" t="s">
        <v>541</v>
      </c>
      <c r="D13" s="5" t="s">
        <v>542</v>
      </c>
      <c r="E13" s="5" t="s">
        <v>543</v>
      </c>
      <c r="F13" s="5" t="s">
        <v>544</v>
      </c>
      <c r="G13" s="5" t="s">
        <v>545</v>
      </c>
      <c r="H13" s="7" t="s">
        <v>490</v>
      </c>
      <c r="I13" s="5" t="s">
        <v>546</v>
      </c>
    </row>
    <row r="14" spans="1:9" ht="25.5" x14ac:dyDescent="0.25">
      <c r="A14" s="1">
        <v>13</v>
      </c>
      <c r="B14" s="5" t="s">
        <v>491</v>
      </c>
      <c r="C14" s="5" t="s">
        <v>547</v>
      </c>
      <c r="D14" s="5" t="s">
        <v>548</v>
      </c>
      <c r="E14" s="5" t="s">
        <v>549</v>
      </c>
      <c r="F14" s="5" t="s">
        <v>544</v>
      </c>
      <c r="G14" s="5" t="s">
        <v>550</v>
      </c>
      <c r="H14" s="8" t="s">
        <v>527</v>
      </c>
      <c r="I14" s="5" t="s">
        <v>551</v>
      </c>
    </row>
    <row r="15" spans="1:9" ht="25.5" x14ac:dyDescent="0.25">
      <c r="A15" s="1">
        <v>14</v>
      </c>
      <c r="B15" s="5" t="s">
        <v>491</v>
      </c>
      <c r="C15" s="5" t="s">
        <v>552</v>
      </c>
      <c r="D15" s="5" t="s">
        <v>553</v>
      </c>
      <c r="E15" s="5" t="s">
        <v>554</v>
      </c>
      <c r="F15" s="5" t="s">
        <v>544</v>
      </c>
      <c r="G15" s="5" t="s">
        <v>555</v>
      </c>
      <c r="H15" s="8" t="s">
        <v>527</v>
      </c>
      <c r="I15" s="5" t="s">
        <v>551</v>
      </c>
    </row>
    <row r="16" spans="1:9" x14ac:dyDescent="0.25">
      <c r="A16" s="1">
        <v>15</v>
      </c>
      <c r="B16" s="5" t="s">
        <v>491</v>
      </c>
      <c r="C16" s="5" t="s">
        <v>556</v>
      </c>
      <c r="D16" s="5" t="s">
        <v>557</v>
      </c>
      <c r="E16" s="5" t="s">
        <v>558</v>
      </c>
      <c r="F16" s="5" t="s">
        <v>544</v>
      </c>
      <c r="G16" s="5" t="s">
        <v>559</v>
      </c>
      <c r="H16" s="8" t="s">
        <v>527</v>
      </c>
      <c r="I16" s="5" t="s">
        <v>560</v>
      </c>
    </row>
    <row r="17" spans="1:9" ht="51" x14ac:dyDescent="0.25">
      <c r="A17" s="1">
        <v>16</v>
      </c>
      <c r="B17" s="5" t="s">
        <v>561</v>
      </c>
      <c r="C17" s="20" t="s">
        <v>604</v>
      </c>
      <c r="D17" s="5" t="s">
        <v>562</v>
      </c>
      <c r="E17" s="5" t="s">
        <v>563</v>
      </c>
      <c r="F17" s="5" t="s">
        <v>564</v>
      </c>
      <c r="G17" s="5" t="s">
        <v>565</v>
      </c>
      <c r="H17" s="7" t="s">
        <v>490</v>
      </c>
      <c r="I17" s="5"/>
    </row>
    <row r="18" spans="1:9" ht="25.5" x14ac:dyDescent="0.25">
      <c r="A18" s="1">
        <v>17</v>
      </c>
      <c r="B18" s="5" t="s">
        <v>561</v>
      </c>
      <c r="C18" s="5" t="s">
        <v>566</v>
      </c>
      <c r="D18" s="5" t="s">
        <v>567</v>
      </c>
      <c r="E18" s="5" t="s">
        <v>568</v>
      </c>
      <c r="F18" s="5" t="s">
        <v>569</v>
      </c>
      <c r="G18" s="5" t="s">
        <v>570</v>
      </c>
      <c r="H18" s="9" t="s">
        <v>381</v>
      </c>
      <c r="I18" s="5" t="s">
        <v>571</v>
      </c>
    </row>
    <row r="19" spans="1:9" ht="25.5" x14ac:dyDescent="0.25">
      <c r="A19" s="1">
        <v>18</v>
      </c>
      <c r="B19" s="5" t="s">
        <v>572</v>
      </c>
      <c r="C19" s="5" t="s">
        <v>573</v>
      </c>
      <c r="D19" s="5" t="s">
        <v>574</v>
      </c>
      <c r="E19" s="5" t="s">
        <v>575</v>
      </c>
      <c r="F19" s="5" t="s">
        <v>576</v>
      </c>
      <c r="G19" s="5" t="s">
        <v>577</v>
      </c>
      <c r="H19" s="9" t="s">
        <v>381</v>
      </c>
      <c r="I19" s="5" t="s">
        <v>578</v>
      </c>
    </row>
    <row r="20" spans="1:9" ht="25.5" x14ac:dyDescent="0.25">
      <c r="A20" s="1">
        <v>19</v>
      </c>
      <c r="B20" s="5" t="s">
        <v>561</v>
      </c>
      <c r="C20" s="5" t="s">
        <v>579</v>
      </c>
      <c r="D20" s="5" t="s">
        <v>580</v>
      </c>
      <c r="E20" s="5" t="s">
        <v>581</v>
      </c>
      <c r="F20" s="5" t="s">
        <v>582</v>
      </c>
      <c r="G20" s="5" t="s">
        <v>583</v>
      </c>
      <c r="H20" s="9" t="s">
        <v>381</v>
      </c>
      <c r="I20" s="5" t="s">
        <v>584</v>
      </c>
    </row>
    <row r="21" spans="1:9" ht="38.25" x14ac:dyDescent="0.25">
      <c r="A21" s="26">
        <v>20</v>
      </c>
      <c r="B21" s="21" t="s">
        <v>585</v>
      </c>
      <c r="C21" s="21" t="s">
        <v>586</v>
      </c>
      <c r="D21" s="5" t="s">
        <v>587</v>
      </c>
      <c r="E21" s="5" t="s">
        <v>588</v>
      </c>
      <c r="F21" s="5" t="s">
        <v>589</v>
      </c>
      <c r="G21" s="5" t="s">
        <v>590</v>
      </c>
      <c r="H21" s="8" t="s">
        <v>527</v>
      </c>
      <c r="I21" s="5" t="s">
        <v>591</v>
      </c>
    </row>
    <row r="22" spans="1:9" x14ac:dyDescent="0.25">
      <c r="A22" s="29"/>
      <c r="B22" s="30"/>
      <c r="C22" s="30"/>
      <c r="D22" s="30"/>
      <c r="E22" s="30"/>
      <c r="F22" s="30"/>
      <c r="G22" s="30"/>
      <c r="H22" s="31"/>
      <c r="I22" s="30"/>
    </row>
    <row r="23" spans="1:9" x14ac:dyDescent="0.25">
      <c r="A23" s="27" t="s">
        <v>592</v>
      </c>
      <c r="B23" s="12"/>
    </row>
    <row r="24" spans="1:9" x14ac:dyDescent="0.25">
      <c r="A24" s="28" t="s">
        <v>490</v>
      </c>
      <c r="B24" s="22">
        <f>COUNTIF($H$2:$H$21,A24)</f>
        <v>12</v>
      </c>
    </row>
    <row r="25" spans="1:9" x14ac:dyDescent="0.25">
      <c r="A25" s="28" t="s">
        <v>527</v>
      </c>
      <c r="B25" s="22">
        <f>COUNTIF($H$2:$H$21,A25)</f>
        <v>5</v>
      </c>
    </row>
    <row r="26" spans="1:9" x14ac:dyDescent="0.25">
      <c r="A26" s="28" t="s">
        <v>381</v>
      </c>
      <c r="B26" s="22">
        <f>COUNTIF($H$2:$H$21,A26)</f>
        <v>3</v>
      </c>
    </row>
  </sheetData>
  <autoFilter ref="A1:I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ColWidth="8.7109375" defaultRowHeight="15" x14ac:dyDescent="0.25"/>
  <cols>
    <col min="1" max="1" width="10" customWidth="1"/>
    <col min="2" max="2" width="16" customWidth="1"/>
    <col min="3" max="3" width="22" customWidth="1"/>
    <col min="4" max="4" width="66" customWidth="1"/>
    <col min="5" max="5" width="13" customWidth="1"/>
    <col min="6" max="6" width="10" customWidth="1"/>
    <col min="7" max="7" width="18" customWidth="1"/>
    <col min="8" max="8" width="16" customWidth="1"/>
    <col min="9" max="9" width="28" customWidth="1"/>
    <col min="10" max="10" width="52" customWidth="1"/>
  </cols>
  <sheetData>
    <row r="1" spans="1:10" s="10" customFormat="1" ht="24" customHeight="1" x14ac:dyDescent="0.25">
      <c r="A1" s="19" t="s">
        <v>38</v>
      </c>
      <c r="B1" s="19" t="s">
        <v>10</v>
      </c>
      <c r="C1" s="19" t="s">
        <v>39</v>
      </c>
      <c r="D1" s="19" t="s">
        <v>40</v>
      </c>
      <c r="E1" s="19" t="s">
        <v>2</v>
      </c>
      <c r="F1" s="19" t="s">
        <v>41</v>
      </c>
      <c r="G1" s="19" t="s">
        <v>42</v>
      </c>
      <c r="H1" s="19" t="s">
        <v>33</v>
      </c>
      <c r="I1" s="19" t="s">
        <v>43</v>
      </c>
      <c r="J1" s="19" t="s">
        <v>44</v>
      </c>
    </row>
    <row r="2" spans="1:10" ht="25.5" x14ac:dyDescent="0.25">
      <c r="A2" s="5" t="s">
        <v>45</v>
      </c>
      <c r="B2" s="20" t="s">
        <v>594</v>
      </c>
      <c r="C2" s="5" t="s">
        <v>46</v>
      </c>
      <c r="D2" s="20" t="s">
        <v>595</v>
      </c>
      <c r="E2" s="5" t="s">
        <v>4</v>
      </c>
      <c r="F2" s="5" t="s">
        <v>30</v>
      </c>
      <c r="G2" s="5" t="s">
        <v>12</v>
      </c>
      <c r="H2" s="5"/>
      <c r="I2" s="5"/>
      <c r="J2" s="5"/>
    </row>
    <row r="3" spans="1:10" ht="25.5" x14ac:dyDescent="0.25">
      <c r="A3" s="5" t="s">
        <v>47</v>
      </c>
      <c r="B3" s="20" t="s">
        <v>594</v>
      </c>
      <c r="C3" s="5" t="s">
        <v>48</v>
      </c>
      <c r="D3" s="5" t="s">
        <v>49</v>
      </c>
      <c r="E3" s="5" t="s">
        <v>4</v>
      </c>
      <c r="F3" s="5" t="s">
        <v>30</v>
      </c>
      <c r="G3" s="5" t="s">
        <v>12</v>
      </c>
      <c r="H3" s="5"/>
      <c r="I3" s="5"/>
      <c r="J3" s="5"/>
    </row>
    <row r="4" spans="1:10" ht="25.5" x14ac:dyDescent="0.25">
      <c r="A4" s="5" t="s">
        <v>50</v>
      </c>
      <c r="B4" s="20" t="s">
        <v>594</v>
      </c>
      <c r="C4" s="5" t="s">
        <v>51</v>
      </c>
      <c r="D4" s="5" t="s">
        <v>52</v>
      </c>
      <c r="E4" s="5" t="s">
        <v>4</v>
      </c>
      <c r="F4" s="5" t="s">
        <v>30</v>
      </c>
      <c r="G4" s="5" t="s">
        <v>12</v>
      </c>
      <c r="H4" s="5"/>
      <c r="I4" s="5"/>
      <c r="J4" s="5"/>
    </row>
    <row r="5" spans="1:10" x14ac:dyDescent="0.25">
      <c r="A5" s="5" t="s">
        <v>53</v>
      </c>
      <c r="B5" s="5" t="s">
        <v>57</v>
      </c>
      <c r="C5" s="5" t="s">
        <v>54</v>
      </c>
      <c r="D5" s="5" t="s">
        <v>55</v>
      </c>
      <c r="E5" s="5" t="s">
        <v>4</v>
      </c>
      <c r="F5" s="5" t="s">
        <v>30</v>
      </c>
      <c r="G5" s="5" t="s">
        <v>12</v>
      </c>
      <c r="H5" s="5"/>
      <c r="I5" s="5"/>
      <c r="J5" s="5"/>
    </row>
    <row r="6" spans="1:10" x14ac:dyDescent="0.25">
      <c r="A6" s="5" t="s">
        <v>56</v>
      </c>
      <c r="B6" s="5" t="s">
        <v>57</v>
      </c>
      <c r="C6" s="5" t="s">
        <v>57</v>
      </c>
      <c r="D6" s="5" t="s">
        <v>58</v>
      </c>
      <c r="E6" s="5" t="s">
        <v>4</v>
      </c>
      <c r="F6" s="5" t="s">
        <v>30</v>
      </c>
      <c r="G6" s="5" t="s">
        <v>12</v>
      </c>
      <c r="H6" s="5"/>
      <c r="I6" s="5"/>
      <c r="J6" s="5"/>
    </row>
    <row r="7" spans="1:10" x14ac:dyDescent="0.25">
      <c r="A7" s="5" t="s">
        <v>59</v>
      </c>
      <c r="B7" s="20" t="s">
        <v>596</v>
      </c>
      <c r="C7" s="5" t="s">
        <v>60</v>
      </c>
      <c r="D7" s="5" t="s">
        <v>61</v>
      </c>
      <c r="E7" s="5" t="s">
        <v>4</v>
      </c>
      <c r="F7" s="5" t="s">
        <v>30</v>
      </c>
      <c r="G7" s="5" t="s">
        <v>12</v>
      </c>
      <c r="H7" s="5"/>
      <c r="I7" s="5"/>
      <c r="J7" s="5"/>
    </row>
    <row r="8" spans="1:10" x14ac:dyDescent="0.25">
      <c r="A8" s="5" t="s">
        <v>62</v>
      </c>
      <c r="B8" s="20" t="s">
        <v>596</v>
      </c>
      <c r="C8" s="5" t="s">
        <v>60</v>
      </c>
      <c r="D8" s="5" t="s">
        <v>63</v>
      </c>
      <c r="E8" s="5" t="s">
        <v>4</v>
      </c>
      <c r="F8" s="5" t="s">
        <v>31</v>
      </c>
      <c r="G8" s="5" t="s">
        <v>12</v>
      </c>
      <c r="H8" s="5"/>
      <c r="I8" s="5"/>
      <c r="J8" s="5"/>
    </row>
    <row r="9" spans="1:10" x14ac:dyDescent="0.25">
      <c r="A9" s="5" t="s">
        <v>64</v>
      </c>
      <c r="B9" s="20" t="s">
        <v>596</v>
      </c>
      <c r="C9" s="5" t="s">
        <v>60</v>
      </c>
      <c r="D9" s="5" t="s">
        <v>65</v>
      </c>
      <c r="E9" s="5" t="s">
        <v>4</v>
      </c>
      <c r="F9" s="5" t="s">
        <v>31</v>
      </c>
      <c r="G9" s="5" t="s">
        <v>12</v>
      </c>
      <c r="H9" s="5"/>
      <c r="I9" s="5"/>
      <c r="J9" s="5"/>
    </row>
    <row r="10" spans="1:10" x14ac:dyDescent="0.25">
      <c r="A10" s="5" t="s">
        <v>66</v>
      </c>
      <c r="B10" s="20" t="s">
        <v>596</v>
      </c>
      <c r="C10" s="5" t="s">
        <v>60</v>
      </c>
      <c r="D10" s="5" t="s">
        <v>67</v>
      </c>
      <c r="E10" s="5" t="s">
        <v>4</v>
      </c>
      <c r="F10" s="5" t="s">
        <v>31</v>
      </c>
      <c r="G10" s="5" t="s">
        <v>12</v>
      </c>
      <c r="H10" s="5"/>
      <c r="I10" s="5"/>
      <c r="J10" s="5"/>
    </row>
    <row r="11" spans="1:10" x14ac:dyDescent="0.25">
      <c r="A11" s="5" t="s">
        <v>68</v>
      </c>
      <c r="B11" s="20" t="s">
        <v>596</v>
      </c>
      <c r="C11" s="5" t="s">
        <v>69</v>
      </c>
      <c r="D11" s="5" t="s">
        <v>70</v>
      </c>
      <c r="E11" s="5" t="s">
        <v>4</v>
      </c>
      <c r="F11" s="5" t="s">
        <v>31</v>
      </c>
      <c r="G11" s="5" t="s">
        <v>24</v>
      </c>
      <c r="H11" s="5"/>
      <c r="I11" s="5"/>
      <c r="J11" s="5"/>
    </row>
    <row r="12" spans="1:10" x14ac:dyDescent="0.25">
      <c r="A12" s="5" t="s">
        <v>71</v>
      </c>
      <c r="B12" s="5" t="s">
        <v>72</v>
      </c>
      <c r="C12" s="5" t="s">
        <v>72</v>
      </c>
      <c r="D12" s="5" t="s">
        <v>73</v>
      </c>
      <c r="E12" s="5" t="s">
        <v>4</v>
      </c>
      <c r="F12" s="5" t="s">
        <v>31</v>
      </c>
      <c r="G12" s="5" t="s">
        <v>24</v>
      </c>
      <c r="H12" s="5"/>
      <c r="I12" s="5"/>
      <c r="J12" s="5"/>
    </row>
    <row r="13" spans="1:10" x14ac:dyDescent="0.25">
      <c r="A13" s="5" t="s">
        <v>74</v>
      </c>
      <c r="B13" s="5" t="s">
        <v>72</v>
      </c>
      <c r="C13" s="5" t="s">
        <v>72</v>
      </c>
      <c r="D13" s="5" t="s">
        <v>75</v>
      </c>
      <c r="E13" s="23" t="s">
        <v>597</v>
      </c>
      <c r="F13" s="5" t="s">
        <v>30</v>
      </c>
      <c r="G13" s="5" t="s">
        <v>76</v>
      </c>
      <c r="H13" s="5"/>
      <c r="I13" s="5"/>
      <c r="J13" s="5"/>
    </row>
    <row r="14" spans="1:10" x14ac:dyDescent="0.25">
      <c r="A14" s="5" t="s">
        <v>77</v>
      </c>
      <c r="B14" s="5" t="s">
        <v>12</v>
      </c>
      <c r="C14" s="5" t="s">
        <v>25</v>
      </c>
      <c r="D14" s="5" t="s">
        <v>78</v>
      </c>
      <c r="E14" s="5" t="s">
        <v>6</v>
      </c>
      <c r="F14" s="5" t="s">
        <v>30</v>
      </c>
      <c r="G14" s="5" t="s">
        <v>25</v>
      </c>
      <c r="H14" s="5"/>
      <c r="I14" s="5"/>
      <c r="J14" s="5"/>
    </row>
    <row r="15" spans="1:10" x14ac:dyDescent="0.25">
      <c r="A15" s="5" t="s">
        <v>79</v>
      </c>
      <c r="B15" s="5" t="s">
        <v>12</v>
      </c>
      <c r="C15" s="5" t="s">
        <v>25</v>
      </c>
      <c r="D15" s="5" t="s">
        <v>80</v>
      </c>
      <c r="E15" s="5" t="s">
        <v>6</v>
      </c>
      <c r="F15" s="5" t="s">
        <v>31</v>
      </c>
      <c r="G15" s="5" t="s">
        <v>25</v>
      </c>
      <c r="H15" s="5"/>
      <c r="I15" s="5"/>
      <c r="J15" s="5"/>
    </row>
    <row r="16" spans="1:10" x14ac:dyDescent="0.25">
      <c r="A16" s="5" t="s">
        <v>81</v>
      </c>
      <c r="B16" s="5" t="s">
        <v>13</v>
      </c>
      <c r="C16" s="5" t="s">
        <v>82</v>
      </c>
      <c r="D16" s="5" t="s">
        <v>83</v>
      </c>
      <c r="E16" s="5" t="s">
        <v>4</v>
      </c>
      <c r="F16" s="5" t="s">
        <v>30</v>
      </c>
      <c r="G16" s="5" t="s">
        <v>84</v>
      </c>
      <c r="H16" s="5"/>
      <c r="I16" s="5"/>
      <c r="J16" s="5"/>
    </row>
    <row r="17" spans="1:10" x14ac:dyDescent="0.25">
      <c r="A17" s="5" t="s">
        <v>85</v>
      </c>
      <c r="B17" s="5" t="s">
        <v>13</v>
      </c>
      <c r="C17" s="5" t="s">
        <v>86</v>
      </c>
      <c r="D17" s="5" t="s">
        <v>87</v>
      </c>
      <c r="E17" s="5" t="s">
        <v>4</v>
      </c>
      <c r="F17" s="5" t="s">
        <v>30</v>
      </c>
      <c r="G17" s="5" t="s">
        <v>84</v>
      </c>
      <c r="H17" s="5"/>
      <c r="I17" s="5"/>
      <c r="J17" s="5"/>
    </row>
    <row r="18" spans="1:10" x14ac:dyDescent="0.25">
      <c r="A18" s="5" t="s">
        <v>88</v>
      </c>
      <c r="B18" s="5" t="s">
        <v>13</v>
      </c>
      <c r="C18" s="5" t="s">
        <v>86</v>
      </c>
      <c r="D18" s="5" t="s">
        <v>89</v>
      </c>
      <c r="E18" s="5" t="s">
        <v>4</v>
      </c>
      <c r="F18" s="5" t="s">
        <v>30</v>
      </c>
      <c r="G18" s="5" t="s">
        <v>84</v>
      </c>
      <c r="H18" s="5"/>
      <c r="I18" s="5"/>
      <c r="J18" s="5"/>
    </row>
    <row r="19" spans="1:10" x14ac:dyDescent="0.25">
      <c r="A19" s="5" t="s">
        <v>90</v>
      </c>
      <c r="B19" s="5" t="s">
        <v>14</v>
      </c>
      <c r="C19" s="5" t="s">
        <v>91</v>
      </c>
      <c r="D19" s="5" t="s">
        <v>92</v>
      </c>
      <c r="E19" s="23" t="s">
        <v>597</v>
      </c>
      <c r="F19" s="5" t="s">
        <v>30</v>
      </c>
      <c r="G19" s="5" t="s">
        <v>22</v>
      </c>
      <c r="H19" s="5"/>
      <c r="I19" s="5"/>
      <c r="J19" s="5"/>
    </row>
    <row r="20" spans="1:10" x14ac:dyDescent="0.25">
      <c r="A20" s="5" t="s">
        <v>93</v>
      </c>
      <c r="B20" s="5" t="s">
        <v>14</v>
      </c>
      <c r="C20" s="5" t="s">
        <v>91</v>
      </c>
      <c r="D20" s="5" t="s">
        <v>94</v>
      </c>
      <c r="E20" s="5" t="s">
        <v>4</v>
      </c>
      <c r="F20" s="5" t="s">
        <v>30</v>
      </c>
      <c r="G20" s="5" t="s">
        <v>22</v>
      </c>
      <c r="H20" s="5"/>
      <c r="I20" s="5"/>
      <c r="J20" s="5"/>
    </row>
    <row r="21" spans="1:10" x14ac:dyDescent="0.25">
      <c r="A21" s="5" t="s">
        <v>95</v>
      </c>
      <c r="B21" s="5" t="s">
        <v>14</v>
      </c>
      <c r="C21" s="5" t="s">
        <v>96</v>
      </c>
      <c r="D21" s="5" t="s">
        <v>97</v>
      </c>
      <c r="E21" s="5" t="s">
        <v>4</v>
      </c>
      <c r="F21" s="5" t="s">
        <v>30</v>
      </c>
      <c r="G21" s="5" t="s">
        <v>98</v>
      </c>
      <c r="H21" s="5"/>
      <c r="I21" s="5"/>
      <c r="J21" s="5"/>
    </row>
    <row r="22" spans="1:10" x14ac:dyDescent="0.25">
      <c r="A22" s="5" t="s">
        <v>99</v>
      </c>
      <c r="B22" s="5" t="s">
        <v>14</v>
      </c>
      <c r="C22" s="5" t="s">
        <v>100</v>
      </c>
      <c r="D22" s="5" t="s">
        <v>101</v>
      </c>
      <c r="E22" s="5" t="s">
        <v>4</v>
      </c>
      <c r="F22" s="5" t="s">
        <v>30</v>
      </c>
      <c r="G22" s="5" t="s">
        <v>98</v>
      </c>
      <c r="H22" s="5"/>
      <c r="I22" s="5"/>
      <c r="J22" s="5"/>
    </row>
    <row r="23" spans="1:10" x14ac:dyDescent="0.25">
      <c r="A23" s="5" t="s">
        <v>102</v>
      </c>
      <c r="B23" s="5" t="s">
        <v>14</v>
      </c>
      <c r="C23" s="5" t="s">
        <v>103</v>
      </c>
      <c r="D23" s="5" t="s">
        <v>104</v>
      </c>
      <c r="E23" s="5" t="s">
        <v>4</v>
      </c>
      <c r="F23" s="5" t="s">
        <v>30</v>
      </c>
      <c r="G23" s="5" t="s">
        <v>98</v>
      </c>
      <c r="H23" s="5"/>
      <c r="I23" s="5"/>
      <c r="J23" s="5"/>
    </row>
    <row r="24" spans="1:10" x14ac:dyDescent="0.25">
      <c r="A24" s="5" t="s">
        <v>105</v>
      </c>
      <c r="B24" s="5" t="s">
        <v>14</v>
      </c>
      <c r="C24" s="5" t="s">
        <v>106</v>
      </c>
      <c r="D24" s="5" t="s">
        <v>107</v>
      </c>
      <c r="E24" s="5" t="s">
        <v>4</v>
      </c>
      <c r="F24" s="5" t="s">
        <v>30</v>
      </c>
      <c r="G24" s="5" t="s">
        <v>98</v>
      </c>
      <c r="H24" s="5"/>
      <c r="I24" s="5"/>
      <c r="J24" s="5"/>
    </row>
    <row r="25" spans="1:10" x14ac:dyDescent="0.25">
      <c r="A25" s="5" t="s">
        <v>108</v>
      </c>
      <c r="B25" s="5" t="s">
        <v>14</v>
      </c>
      <c r="C25" s="5" t="s">
        <v>109</v>
      </c>
      <c r="D25" s="5" t="s">
        <v>110</v>
      </c>
      <c r="E25" s="5" t="s">
        <v>4</v>
      </c>
      <c r="F25" s="5" t="s">
        <v>31</v>
      </c>
      <c r="G25" s="5" t="s">
        <v>98</v>
      </c>
      <c r="H25" s="5"/>
      <c r="I25" s="5"/>
      <c r="J25" s="5"/>
    </row>
    <row r="26" spans="1:10" x14ac:dyDescent="0.25">
      <c r="A26" s="5" t="s">
        <v>111</v>
      </c>
      <c r="B26" s="5" t="s">
        <v>14</v>
      </c>
      <c r="C26" s="5" t="s">
        <v>112</v>
      </c>
      <c r="D26" s="5" t="s">
        <v>113</v>
      </c>
      <c r="E26" s="5" t="s">
        <v>4</v>
      </c>
      <c r="F26" s="5" t="s">
        <v>30</v>
      </c>
      <c r="G26" s="5" t="s">
        <v>98</v>
      </c>
      <c r="H26" s="5"/>
      <c r="I26" s="5"/>
      <c r="J26" s="5"/>
    </row>
    <row r="27" spans="1:10" x14ac:dyDescent="0.25">
      <c r="A27" s="5" t="s">
        <v>114</v>
      </c>
      <c r="B27" s="5" t="s">
        <v>14</v>
      </c>
      <c r="C27" s="5" t="s">
        <v>115</v>
      </c>
      <c r="D27" s="5" t="s">
        <v>116</v>
      </c>
      <c r="E27" s="5" t="s">
        <v>4</v>
      </c>
      <c r="F27" s="5" t="s">
        <v>30</v>
      </c>
      <c r="G27" s="5" t="s">
        <v>98</v>
      </c>
      <c r="H27" s="5"/>
      <c r="I27" s="5"/>
      <c r="J27" s="5"/>
    </row>
    <row r="28" spans="1:10" x14ac:dyDescent="0.25">
      <c r="A28" s="5" t="s">
        <v>117</v>
      </c>
      <c r="B28" s="5" t="s">
        <v>14</v>
      </c>
      <c r="C28" s="5" t="s">
        <v>118</v>
      </c>
      <c r="D28" s="5" t="s">
        <v>119</v>
      </c>
      <c r="E28" s="23" t="s">
        <v>597</v>
      </c>
      <c r="F28" s="5" t="s">
        <v>30</v>
      </c>
      <c r="G28" s="5" t="s">
        <v>120</v>
      </c>
      <c r="H28" s="5"/>
      <c r="I28" s="5" t="s">
        <v>121</v>
      </c>
      <c r="J28" s="5"/>
    </row>
    <row r="29" spans="1:10" x14ac:dyDescent="0.25">
      <c r="A29" s="5" t="s">
        <v>122</v>
      </c>
      <c r="B29" s="5" t="s">
        <v>14</v>
      </c>
      <c r="C29" s="5" t="s">
        <v>123</v>
      </c>
      <c r="D29" s="5" t="s">
        <v>124</v>
      </c>
      <c r="E29" s="5" t="s">
        <v>4</v>
      </c>
      <c r="F29" s="5" t="s">
        <v>30</v>
      </c>
      <c r="G29" s="5" t="s">
        <v>98</v>
      </c>
      <c r="H29" s="5"/>
      <c r="I29" s="5"/>
      <c r="J29" s="5"/>
    </row>
    <row r="30" spans="1:10" x14ac:dyDescent="0.25">
      <c r="A30" s="5" t="s">
        <v>125</v>
      </c>
      <c r="B30" s="5" t="s">
        <v>14</v>
      </c>
      <c r="C30" s="5" t="s">
        <v>126</v>
      </c>
      <c r="D30" s="5" t="s">
        <v>127</v>
      </c>
      <c r="E30" s="5" t="s">
        <v>4</v>
      </c>
      <c r="F30" s="5" t="s">
        <v>30</v>
      </c>
      <c r="G30" s="5" t="s">
        <v>98</v>
      </c>
      <c r="H30" s="5"/>
      <c r="I30" s="5"/>
      <c r="J30" s="5"/>
    </row>
    <row r="31" spans="1:10" x14ac:dyDescent="0.25">
      <c r="A31" s="5" t="s">
        <v>128</v>
      </c>
      <c r="B31" s="5" t="s">
        <v>14</v>
      </c>
      <c r="C31" s="5" t="s">
        <v>129</v>
      </c>
      <c r="D31" s="5" t="s">
        <v>130</v>
      </c>
      <c r="E31" s="5" t="s">
        <v>4</v>
      </c>
      <c r="F31" s="5" t="s">
        <v>31</v>
      </c>
      <c r="G31" s="5" t="s">
        <v>98</v>
      </c>
      <c r="H31" s="5"/>
      <c r="I31" s="5"/>
      <c r="J31" s="5"/>
    </row>
    <row r="32" spans="1:10" x14ac:dyDescent="0.25">
      <c r="A32" s="5" t="s">
        <v>131</v>
      </c>
      <c r="B32" s="5" t="s">
        <v>14</v>
      </c>
      <c r="C32" s="5" t="s">
        <v>132</v>
      </c>
      <c r="D32" s="5" t="s">
        <v>133</v>
      </c>
      <c r="E32" s="5" t="s">
        <v>4</v>
      </c>
      <c r="F32" s="5" t="s">
        <v>31</v>
      </c>
      <c r="G32" s="5" t="s">
        <v>98</v>
      </c>
      <c r="H32" s="5"/>
      <c r="I32" s="5"/>
      <c r="J32" s="5"/>
    </row>
    <row r="33" spans="1:10" x14ac:dyDescent="0.25">
      <c r="A33" s="5" t="s">
        <v>134</v>
      </c>
      <c r="B33" s="5" t="s">
        <v>14</v>
      </c>
      <c r="C33" s="5" t="s">
        <v>135</v>
      </c>
      <c r="D33" s="5" t="s">
        <v>136</v>
      </c>
      <c r="E33" s="5" t="s">
        <v>4</v>
      </c>
      <c r="F33" s="5" t="s">
        <v>31</v>
      </c>
      <c r="G33" s="5" t="s">
        <v>98</v>
      </c>
      <c r="H33" s="5"/>
      <c r="I33" s="5"/>
      <c r="J33" s="5"/>
    </row>
    <row r="34" spans="1:10" x14ac:dyDescent="0.25">
      <c r="A34" s="5" t="s">
        <v>137</v>
      </c>
      <c r="B34" s="5" t="s">
        <v>14</v>
      </c>
      <c r="C34" s="5" t="s">
        <v>138</v>
      </c>
      <c r="D34" s="5" t="s">
        <v>139</v>
      </c>
      <c r="E34" s="5" t="s">
        <v>4</v>
      </c>
      <c r="F34" s="5" t="s">
        <v>30</v>
      </c>
      <c r="G34" s="5" t="s">
        <v>98</v>
      </c>
      <c r="H34" s="5"/>
      <c r="I34" s="5"/>
      <c r="J34" s="5"/>
    </row>
    <row r="35" spans="1:10" x14ac:dyDescent="0.25">
      <c r="A35" s="5" t="s">
        <v>140</v>
      </c>
      <c r="B35" s="5" t="s">
        <v>14</v>
      </c>
      <c r="C35" s="5" t="s">
        <v>141</v>
      </c>
      <c r="D35" s="5" t="s">
        <v>142</v>
      </c>
      <c r="E35" s="5" t="s">
        <v>4</v>
      </c>
      <c r="F35" s="5" t="s">
        <v>30</v>
      </c>
      <c r="G35" s="5" t="s">
        <v>98</v>
      </c>
      <c r="H35" s="5"/>
      <c r="I35" s="5"/>
      <c r="J35" s="5"/>
    </row>
    <row r="36" spans="1:10" x14ac:dyDescent="0.25">
      <c r="A36" s="5" t="s">
        <v>143</v>
      </c>
      <c r="B36" s="5" t="s">
        <v>14</v>
      </c>
      <c r="C36" s="5" t="s">
        <v>144</v>
      </c>
      <c r="D36" s="5" t="s">
        <v>145</v>
      </c>
      <c r="E36" s="5" t="s">
        <v>4</v>
      </c>
      <c r="F36" s="5" t="s">
        <v>30</v>
      </c>
      <c r="G36" s="5" t="s">
        <v>98</v>
      </c>
      <c r="H36" s="5"/>
      <c r="I36" s="5"/>
      <c r="J36" s="5"/>
    </row>
    <row r="37" spans="1:10" x14ac:dyDescent="0.25">
      <c r="A37" s="5" t="s">
        <v>146</v>
      </c>
      <c r="B37" s="5" t="s">
        <v>14</v>
      </c>
      <c r="C37" s="5" t="s">
        <v>147</v>
      </c>
      <c r="D37" s="5" t="s">
        <v>148</v>
      </c>
      <c r="E37" s="5" t="s">
        <v>4</v>
      </c>
      <c r="F37" s="5" t="s">
        <v>31</v>
      </c>
      <c r="G37" s="5" t="s">
        <v>98</v>
      </c>
      <c r="H37" s="5"/>
      <c r="I37" s="5"/>
      <c r="J37" s="5"/>
    </row>
    <row r="38" spans="1:10" x14ac:dyDescent="0.25">
      <c r="A38" s="5" t="s">
        <v>149</v>
      </c>
      <c r="B38" s="5" t="s">
        <v>15</v>
      </c>
      <c r="C38" s="5" t="s">
        <v>150</v>
      </c>
      <c r="D38" s="5" t="s">
        <v>151</v>
      </c>
      <c r="E38" s="5" t="s">
        <v>4</v>
      </c>
      <c r="F38" s="5" t="s">
        <v>30</v>
      </c>
      <c r="G38" s="5" t="s">
        <v>152</v>
      </c>
      <c r="H38" s="5"/>
      <c r="I38" s="5"/>
      <c r="J38" s="5"/>
    </row>
    <row r="39" spans="1:10" x14ac:dyDescent="0.25">
      <c r="A39" s="5" t="s">
        <v>153</v>
      </c>
      <c r="B39" s="5" t="s">
        <v>15</v>
      </c>
      <c r="C39" s="5" t="s">
        <v>154</v>
      </c>
      <c r="D39" s="5" t="s">
        <v>155</v>
      </c>
      <c r="E39" s="5" t="s">
        <v>4</v>
      </c>
      <c r="F39" s="5" t="s">
        <v>30</v>
      </c>
      <c r="G39" s="5" t="s">
        <v>152</v>
      </c>
      <c r="H39" s="5"/>
      <c r="I39" s="5"/>
      <c r="J39" s="5"/>
    </row>
    <row r="40" spans="1:10" x14ac:dyDescent="0.25">
      <c r="A40" s="5" t="s">
        <v>156</v>
      </c>
      <c r="B40" s="5" t="s">
        <v>15</v>
      </c>
      <c r="C40" s="5" t="s">
        <v>157</v>
      </c>
      <c r="D40" s="5" t="s">
        <v>158</v>
      </c>
      <c r="E40" s="5" t="s">
        <v>4</v>
      </c>
      <c r="F40" s="5" t="s">
        <v>30</v>
      </c>
      <c r="G40" s="5" t="s">
        <v>98</v>
      </c>
      <c r="H40" s="5"/>
      <c r="I40" s="5"/>
      <c r="J40" s="5"/>
    </row>
    <row r="41" spans="1:10" x14ac:dyDescent="0.25">
      <c r="A41" s="5" t="s">
        <v>159</v>
      </c>
      <c r="B41" s="5" t="s">
        <v>15</v>
      </c>
      <c r="C41" s="5" t="s">
        <v>160</v>
      </c>
      <c r="D41" s="5" t="s">
        <v>161</v>
      </c>
      <c r="E41" s="5" t="s">
        <v>4</v>
      </c>
      <c r="F41" s="5" t="s">
        <v>30</v>
      </c>
      <c r="G41" s="5" t="s">
        <v>98</v>
      </c>
      <c r="H41" s="5"/>
      <c r="I41" s="5"/>
      <c r="J41" s="5"/>
    </row>
    <row r="42" spans="1:10" x14ac:dyDescent="0.25">
      <c r="A42" s="5" t="s">
        <v>162</v>
      </c>
      <c r="B42" s="5" t="s">
        <v>15</v>
      </c>
      <c r="C42" s="5" t="s">
        <v>163</v>
      </c>
      <c r="D42" s="5" t="s">
        <v>164</v>
      </c>
      <c r="E42" s="5" t="s">
        <v>4</v>
      </c>
      <c r="F42" s="5" t="s">
        <v>30</v>
      </c>
      <c r="G42" s="5" t="s">
        <v>98</v>
      </c>
      <c r="H42" s="5"/>
      <c r="I42" s="5"/>
      <c r="J42" s="5"/>
    </row>
    <row r="43" spans="1:10" x14ac:dyDescent="0.25">
      <c r="A43" s="5" t="s">
        <v>165</v>
      </c>
      <c r="B43" s="5" t="s">
        <v>15</v>
      </c>
      <c r="C43" s="5" t="s">
        <v>166</v>
      </c>
      <c r="D43" s="5" t="s">
        <v>167</v>
      </c>
      <c r="E43" s="5" t="s">
        <v>4</v>
      </c>
      <c r="F43" s="5" t="s">
        <v>30</v>
      </c>
      <c r="G43" s="5" t="s">
        <v>98</v>
      </c>
      <c r="H43" s="5"/>
      <c r="I43" s="5"/>
      <c r="J43" s="5"/>
    </row>
    <row r="44" spans="1:10" x14ac:dyDescent="0.25">
      <c r="A44" s="5" t="s">
        <v>168</v>
      </c>
      <c r="B44" s="5" t="s">
        <v>15</v>
      </c>
      <c r="C44" s="5" t="s">
        <v>169</v>
      </c>
      <c r="D44" s="5" t="s">
        <v>170</v>
      </c>
      <c r="E44" s="5" t="s">
        <v>4</v>
      </c>
      <c r="F44" s="5" t="s">
        <v>30</v>
      </c>
      <c r="G44" s="5" t="s">
        <v>98</v>
      </c>
      <c r="H44" s="5"/>
      <c r="I44" s="5"/>
      <c r="J44" s="5"/>
    </row>
    <row r="45" spans="1:10" x14ac:dyDescent="0.25">
      <c r="A45" s="5" t="s">
        <v>171</v>
      </c>
      <c r="B45" s="5" t="s">
        <v>15</v>
      </c>
      <c r="C45" s="5" t="s">
        <v>172</v>
      </c>
      <c r="D45" s="5" t="s">
        <v>173</v>
      </c>
      <c r="E45" s="5" t="s">
        <v>4</v>
      </c>
      <c r="F45" s="5" t="s">
        <v>31</v>
      </c>
      <c r="G45" s="5" t="s">
        <v>98</v>
      </c>
      <c r="H45" s="5"/>
      <c r="I45" s="5"/>
      <c r="J45" s="5"/>
    </row>
    <row r="46" spans="1:10" x14ac:dyDescent="0.25">
      <c r="A46" s="5" t="s">
        <v>174</v>
      </c>
      <c r="B46" s="5" t="s">
        <v>15</v>
      </c>
      <c r="C46" s="5" t="s">
        <v>175</v>
      </c>
      <c r="D46" s="5" t="s">
        <v>176</v>
      </c>
      <c r="E46" s="5" t="s">
        <v>4</v>
      </c>
      <c r="F46" s="5" t="s">
        <v>30</v>
      </c>
      <c r="G46" s="5" t="s">
        <v>98</v>
      </c>
      <c r="H46" s="5"/>
      <c r="I46" s="5"/>
      <c r="J46" s="5"/>
    </row>
    <row r="47" spans="1:10" x14ac:dyDescent="0.25">
      <c r="A47" s="5" t="s">
        <v>177</v>
      </c>
      <c r="B47" s="5" t="s">
        <v>15</v>
      </c>
      <c r="C47" s="5" t="s">
        <v>178</v>
      </c>
      <c r="D47" s="5" t="s">
        <v>179</v>
      </c>
      <c r="E47" s="5" t="s">
        <v>4</v>
      </c>
      <c r="F47" s="5" t="s">
        <v>31</v>
      </c>
      <c r="G47" s="5" t="s">
        <v>98</v>
      </c>
      <c r="H47" s="5"/>
      <c r="I47" s="5"/>
      <c r="J47" s="5"/>
    </row>
    <row r="48" spans="1:10" x14ac:dyDescent="0.25">
      <c r="A48" s="5" t="s">
        <v>180</v>
      </c>
      <c r="B48" s="5" t="s">
        <v>15</v>
      </c>
      <c r="C48" s="5" t="s">
        <v>181</v>
      </c>
      <c r="D48" s="5" t="s">
        <v>182</v>
      </c>
      <c r="E48" s="5" t="s">
        <v>4</v>
      </c>
      <c r="F48" s="5" t="s">
        <v>30</v>
      </c>
      <c r="G48" s="5" t="s">
        <v>98</v>
      </c>
      <c r="H48" s="5"/>
      <c r="I48" s="5"/>
      <c r="J48" s="5"/>
    </row>
    <row r="49" spans="1:10" x14ac:dyDescent="0.25">
      <c r="A49" s="5" t="s">
        <v>183</v>
      </c>
      <c r="B49" s="5" t="s">
        <v>15</v>
      </c>
      <c r="C49" s="5" t="s">
        <v>184</v>
      </c>
      <c r="D49" s="5" t="s">
        <v>185</v>
      </c>
      <c r="E49" s="5" t="s">
        <v>4</v>
      </c>
      <c r="F49" s="5" t="s">
        <v>31</v>
      </c>
      <c r="G49" s="5" t="s">
        <v>98</v>
      </c>
      <c r="H49" s="5"/>
      <c r="I49" s="5"/>
      <c r="J49" s="5"/>
    </row>
    <row r="50" spans="1:10" x14ac:dyDescent="0.25">
      <c r="A50" s="5" t="s">
        <v>186</v>
      </c>
      <c r="B50" s="5" t="s">
        <v>15</v>
      </c>
      <c r="C50" s="5" t="s">
        <v>187</v>
      </c>
      <c r="D50" s="5" t="s">
        <v>188</v>
      </c>
      <c r="E50" s="5" t="s">
        <v>4</v>
      </c>
      <c r="F50" s="5" t="s">
        <v>31</v>
      </c>
      <c r="G50" s="5" t="s">
        <v>98</v>
      </c>
      <c r="H50" s="5"/>
      <c r="I50" s="5"/>
      <c r="J50" s="5"/>
    </row>
    <row r="51" spans="1:10" x14ac:dyDescent="0.25">
      <c r="A51" s="5" t="s">
        <v>189</v>
      </c>
      <c r="B51" s="5" t="s">
        <v>15</v>
      </c>
      <c r="C51" s="5" t="s">
        <v>190</v>
      </c>
      <c r="D51" s="5" t="s">
        <v>191</v>
      </c>
      <c r="E51" s="5" t="s">
        <v>4</v>
      </c>
      <c r="F51" s="5" t="s">
        <v>30</v>
      </c>
      <c r="G51" s="5" t="s">
        <v>98</v>
      </c>
      <c r="H51" s="5"/>
      <c r="I51" s="5"/>
      <c r="J51" s="5"/>
    </row>
    <row r="52" spans="1:10" x14ac:dyDescent="0.25">
      <c r="A52" s="5" t="s">
        <v>192</v>
      </c>
      <c r="B52" s="5" t="s">
        <v>15</v>
      </c>
      <c r="C52" s="5" t="s">
        <v>193</v>
      </c>
      <c r="D52" s="5" t="s">
        <v>194</v>
      </c>
      <c r="E52" s="5" t="s">
        <v>4</v>
      </c>
      <c r="F52" s="5" t="s">
        <v>30</v>
      </c>
      <c r="G52" s="5" t="s">
        <v>98</v>
      </c>
      <c r="H52" s="5"/>
      <c r="I52" s="5"/>
      <c r="J52" s="5"/>
    </row>
    <row r="53" spans="1:10" x14ac:dyDescent="0.25">
      <c r="A53" s="5" t="s">
        <v>195</v>
      </c>
      <c r="B53" s="5" t="s">
        <v>15</v>
      </c>
      <c r="C53" s="5" t="s">
        <v>196</v>
      </c>
      <c r="D53" s="5" t="s">
        <v>197</v>
      </c>
      <c r="E53" s="5" t="s">
        <v>4</v>
      </c>
      <c r="F53" s="5" t="s">
        <v>30</v>
      </c>
      <c r="G53" s="5" t="s">
        <v>198</v>
      </c>
      <c r="H53" s="5"/>
      <c r="I53" s="5"/>
      <c r="J53" s="5"/>
    </row>
    <row r="54" spans="1:10" x14ac:dyDescent="0.25">
      <c r="A54" s="5" t="s">
        <v>199</v>
      </c>
      <c r="B54" s="5" t="s">
        <v>15</v>
      </c>
      <c r="C54" s="5" t="s">
        <v>200</v>
      </c>
      <c r="D54" s="5" t="s">
        <v>201</v>
      </c>
      <c r="E54" s="5" t="s">
        <v>6</v>
      </c>
      <c r="F54" s="5" t="s">
        <v>30</v>
      </c>
      <c r="G54" s="5" t="s">
        <v>22</v>
      </c>
      <c r="H54" s="5"/>
      <c r="I54" s="5"/>
      <c r="J54" s="5"/>
    </row>
    <row r="55" spans="1:10" x14ac:dyDescent="0.25">
      <c r="A55" s="5" t="s">
        <v>202</v>
      </c>
      <c r="B55" s="5" t="s">
        <v>15</v>
      </c>
      <c r="C55" s="5" t="s">
        <v>203</v>
      </c>
      <c r="D55" s="5" t="s">
        <v>204</v>
      </c>
      <c r="E55" s="5" t="s">
        <v>6</v>
      </c>
      <c r="F55" s="5" t="s">
        <v>31</v>
      </c>
      <c r="G55" s="5" t="s">
        <v>205</v>
      </c>
      <c r="H55" s="5"/>
      <c r="I55" s="5"/>
      <c r="J55" s="5"/>
    </row>
    <row r="56" spans="1:10" x14ac:dyDescent="0.25">
      <c r="A56" s="5" t="s">
        <v>206</v>
      </c>
      <c r="B56" s="5" t="s">
        <v>15</v>
      </c>
      <c r="C56" s="5" t="s">
        <v>207</v>
      </c>
      <c r="D56" s="5" t="s">
        <v>208</v>
      </c>
      <c r="E56" s="5" t="s">
        <v>6</v>
      </c>
      <c r="F56" s="5" t="s">
        <v>31</v>
      </c>
      <c r="G56" s="5" t="s">
        <v>205</v>
      </c>
      <c r="H56" s="5"/>
      <c r="I56" s="5"/>
      <c r="J56" s="5"/>
    </row>
    <row r="57" spans="1:10" x14ac:dyDescent="0.25">
      <c r="A57" s="5" t="s">
        <v>209</v>
      </c>
      <c r="B57" s="5" t="s">
        <v>15</v>
      </c>
      <c r="C57" s="5" t="s">
        <v>210</v>
      </c>
      <c r="D57" s="5" t="s">
        <v>211</v>
      </c>
      <c r="E57" s="5" t="s">
        <v>6</v>
      </c>
      <c r="F57" s="5" t="s">
        <v>31</v>
      </c>
      <c r="G57" s="5" t="s">
        <v>205</v>
      </c>
      <c r="H57" s="5"/>
      <c r="I57" s="5"/>
      <c r="J57" s="5"/>
    </row>
    <row r="58" spans="1:10" x14ac:dyDescent="0.25">
      <c r="A58" s="5" t="s">
        <v>212</v>
      </c>
      <c r="B58" s="5" t="s">
        <v>16</v>
      </c>
      <c r="C58" s="5" t="s">
        <v>213</v>
      </c>
      <c r="D58" s="5" t="s">
        <v>214</v>
      </c>
      <c r="E58" s="5" t="s">
        <v>4</v>
      </c>
      <c r="F58" s="5" t="s">
        <v>30</v>
      </c>
      <c r="G58" s="5" t="s">
        <v>152</v>
      </c>
      <c r="H58" s="5"/>
      <c r="I58" s="5"/>
      <c r="J58" s="5"/>
    </row>
    <row r="59" spans="1:10" x14ac:dyDescent="0.25">
      <c r="A59" s="5" t="s">
        <v>215</v>
      </c>
      <c r="B59" s="5" t="s">
        <v>16</v>
      </c>
      <c r="C59" s="5" t="s">
        <v>216</v>
      </c>
      <c r="D59" s="5" t="s">
        <v>217</v>
      </c>
      <c r="E59" s="5" t="s">
        <v>4</v>
      </c>
      <c r="F59" s="5" t="s">
        <v>30</v>
      </c>
      <c r="G59" s="5" t="s">
        <v>152</v>
      </c>
      <c r="H59" s="5"/>
      <c r="I59" s="5"/>
      <c r="J59" s="5"/>
    </row>
    <row r="60" spans="1:10" x14ac:dyDescent="0.25">
      <c r="A60" s="5" t="s">
        <v>218</v>
      </c>
      <c r="B60" s="5" t="s">
        <v>16</v>
      </c>
      <c r="C60" s="5" t="s">
        <v>219</v>
      </c>
      <c r="D60" s="5" t="s">
        <v>220</v>
      </c>
      <c r="E60" s="5" t="s">
        <v>4</v>
      </c>
      <c r="F60" s="5" t="s">
        <v>30</v>
      </c>
      <c r="G60" s="5" t="s">
        <v>98</v>
      </c>
      <c r="H60" s="5"/>
      <c r="I60" s="5"/>
      <c r="J60" s="5"/>
    </row>
    <row r="61" spans="1:10" x14ac:dyDescent="0.25">
      <c r="A61" s="5" t="s">
        <v>221</v>
      </c>
      <c r="B61" s="5" t="s">
        <v>16</v>
      </c>
      <c r="C61" s="5" t="s">
        <v>222</v>
      </c>
      <c r="D61" s="5" t="s">
        <v>223</v>
      </c>
      <c r="E61" s="5" t="s">
        <v>4</v>
      </c>
      <c r="F61" s="5" t="s">
        <v>31</v>
      </c>
      <c r="G61" s="5" t="s">
        <v>98</v>
      </c>
      <c r="H61" s="5"/>
      <c r="I61" s="5"/>
      <c r="J61" s="5"/>
    </row>
    <row r="62" spans="1:10" x14ac:dyDescent="0.25">
      <c r="A62" s="5" t="s">
        <v>224</v>
      </c>
      <c r="B62" s="5" t="s">
        <v>16</v>
      </c>
      <c r="C62" s="5" t="s">
        <v>225</v>
      </c>
      <c r="D62" s="5" t="s">
        <v>226</v>
      </c>
      <c r="E62" s="5" t="s">
        <v>4</v>
      </c>
      <c r="F62" s="5" t="s">
        <v>30</v>
      </c>
      <c r="G62" s="5" t="s">
        <v>98</v>
      </c>
      <c r="H62" s="5"/>
      <c r="I62" s="5"/>
      <c r="J62" s="5"/>
    </row>
    <row r="63" spans="1:10" x14ac:dyDescent="0.25">
      <c r="A63" s="5" t="s">
        <v>227</v>
      </c>
      <c r="B63" s="5" t="s">
        <v>16</v>
      </c>
      <c r="C63" s="5" t="s">
        <v>228</v>
      </c>
      <c r="D63" s="5" t="s">
        <v>229</v>
      </c>
      <c r="E63" s="5" t="s">
        <v>4</v>
      </c>
      <c r="F63" s="5" t="s">
        <v>30</v>
      </c>
      <c r="G63" s="5" t="s">
        <v>98</v>
      </c>
      <c r="H63" s="5"/>
      <c r="I63" s="5"/>
      <c r="J63" s="5"/>
    </row>
    <row r="64" spans="1:10" x14ac:dyDescent="0.25">
      <c r="A64" s="5" t="s">
        <v>230</v>
      </c>
      <c r="B64" s="5" t="s">
        <v>16</v>
      </c>
      <c r="C64" s="5" t="s">
        <v>231</v>
      </c>
      <c r="D64" s="5" t="s">
        <v>232</v>
      </c>
      <c r="E64" s="5" t="s">
        <v>4</v>
      </c>
      <c r="F64" s="5" t="s">
        <v>30</v>
      </c>
      <c r="G64" s="5" t="s">
        <v>98</v>
      </c>
      <c r="H64" s="5"/>
      <c r="I64" s="5"/>
      <c r="J64" s="5"/>
    </row>
    <row r="65" spans="1:10" x14ac:dyDescent="0.25">
      <c r="A65" s="5" t="s">
        <v>233</v>
      </c>
      <c r="B65" s="5" t="s">
        <v>16</v>
      </c>
      <c r="C65" s="5" t="s">
        <v>234</v>
      </c>
      <c r="D65" s="5" t="s">
        <v>235</v>
      </c>
      <c r="E65" s="5" t="s">
        <v>4</v>
      </c>
      <c r="F65" s="5" t="s">
        <v>30</v>
      </c>
      <c r="G65" s="5" t="s">
        <v>152</v>
      </c>
      <c r="H65" s="5"/>
      <c r="I65" s="5"/>
      <c r="J65" s="5"/>
    </row>
    <row r="66" spans="1:10" x14ac:dyDescent="0.25">
      <c r="A66" s="5" t="s">
        <v>236</v>
      </c>
      <c r="B66" s="5" t="s">
        <v>16</v>
      </c>
      <c r="C66" s="5" t="s">
        <v>200</v>
      </c>
      <c r="D66" s="5" t="s">
        <v>237</v>
      </c>
      <c r="E66" s="5" t="s">
        <v>6</v>
      </c>
      <c r="F66" s="5" t="s">
        <v>30</v>
      </c>
      <c r="G66" s="5" t="s">
        <v>22</v>
      </c>
      <c r="H66" s="5"/>
      <c r="I66" s="5"/>
      <c r="J66" s="5"/>
    </row>
    <row r="67" spans="1:10" x14ac:dyDescent="0.25">
      <c r="A67" s="5" t="s">
        <v>238</v>
      </c>
      <c r="B67" s="5" t="s">
        <v>16</v>
      </c>
      <c r="C67" s="5" t="s">
        <v>239</v>
      </c>
      <c r="D67" s="5" t="s">
        <v>240</v>
      </c>
      <c r="E67" s="5" t="s">
        <v>6</v>
      </c>
      <c r="F67" s="5" t="s">
        <v>31</v>
      </c>
      <c r="G67" s="5" t="s">
        <v>205</v>
      </c>
      <c r="H67" s="5"/>
      <c r="I67" s="5"/>
      <c r="J67" s="5"/>
    </row>
    <row r="68" spans="1:10" x14ac:dyDescent="0.25">
      <c r="A68" s="5" t="s">
        <v>241</v>
      </c>
      <c r="B68" s="5" t="s">
        <v>16</v>
      </c>
      <c r="C68" s="5" t="s">
        <v>242</v>
      </c>
      <c r="D68" s="5" t="s">
        <v>243</v>
      </c>
      <c r="E68" s="5" t="s">
        <v>6</v>
      </c>
      <c r="F68" s="5" t="s">
        <v>31</v>
      </c>
      <c r="G68" s="5" t="s">
        <v>205</v>
      </c>
      <c r="H68" s="5"/>
      <c r="I68" s="5"/>
      <c r="J68" s="5"/>
    </row>
    <row r="69" spans="1:10" x14ac:dyDescent="0.25">
      <c r="A69" s="5" t="s">
        <v>244</v>
      </c>
      <c r="B69" s="5" t="s">
        <v>17</v>
      </c>
      <c r="C69" s="5" t="s">
        <v>245</v>
      </c>
      <c r="D69" s="5" t="s">
        <v>246</v>
      </c>
      <c r="E69" s="5" t="s">
        <v>4</v>
      </c>
      <c r="F69" s="5" t="s">
        <v>31</v>
      </c>
      <c r="G69" s="5" t="s">
        <v>98</v>
      </c>
      <c r="H69" s="5"/>
      <c r="I69" s="5"/>
      <c r="J69" s="5"/>
    </row>
    <row r="70" spans="1:10" x14ac:dyDescent="0.25">
      <c r="A70" s="5" t="s">
        <v>247</v>
      </c>
      <c r="B70" s="5" t="s">
        <v>17</v>
      </c>
      <c r="C70" s="5" t="s">
        <v>248</v>
      </c>
      <c r="D70" s="5" t="s">
        <v>249</v>
      </c>
      <c r="E70" s="5" t="s">
        <v>4</v>
      </c>
      <c r="F70" s="5" t="s">
        <v>30</v>
      </c>
      <c r="G70" s="5" t="s">
        <v>98</v>
      </c>
      <c r="H70" s="5"/>
      <c r="I70" s="5"/>
      <c r="J70" s="5"/>
    </row>
    <row r="71" spans="1:10" x14ac:dyDescent="0.25">
      <c r="A71" s="5" t="s">
        <v>250</v>
      </c>
      <c r="B71" s="5" t="s">
        <v>17</v>
      </c>
      <c r="C71" s="5" t="s">
        <v>251</v>
      </c>
      <c r="D71" s="5" t="s">
        <v>252</v>
      </c>
      <c r="E71" s="5" t="s">
        <v>4</v>
      </c>
      <c r="F71" s="5" t="s">
        <v>30</v>
      </c>
      <c r="G71" s="5" t="s">
        <v>98</v>
      </c>
      <c r="H71" s="5"/>
      <c r="I71" s="5"/>
      <c r="J71" s="5"/>
    </row>
    <row r="72" spans="1:10" x14ac:dyDescent="0.25">
      <c r="A72" s="5" t="s">
        <v>253</v>
      </c>
      <c r="B72" s="5" t="s">
        <v>17</v>
      </c>
      <c r="C72" s="5" t="s">
        <v>254</v>
      </c>
      <c r="D72" s="5" t="s">
        <v>255</v>
      </c>
      <c r="E72" s="5" t="s">
        <v>4</v>
      </c>
      <c r="F72" s="5" t="s">
        <v>30</v>
      </c>
      <c r="G72" s="5" t="s">
        <v>205</v>
      </c>
      <c r="H72" s="5"/>
      <c r="I72" s="5"/>
      <c r="J72" s="5"/>
    </row>
    <row r="73" spans="1:10" x14ac:dyDescent="0.25">
      <c r="A73" s="5" t="s">
        <v>256</v>
      </c>
      <c r="B73" s="5" t="s">
        <v>17</v>
      </c>
      <c r="C73" s="5" t="s">
        <v>257</v>
      </c>
      <c r="D73" s="5" t="s">
        <v>258</v>
      </c>
      <c r="E73" s="5" t="s">
        <v>4</v>
      </c>
      <c r="F73" s="5" t="s">
        <v>31</v>
      </c>
      <c r="G73" s="5" t="s">
        <v>98</v>
      </c>
      <c r="H73" s="5"/>
      <c r="I73" s="5"/>
      <c r="J73" s="5"/>
    </row>
    <row r="74" spans="1:10" x14ac:dyDescent="0.25">
      <c r="A74" s="5" t="s">
        <v>259</v>
      </c>
      <c r="B74" s="5" t="s">
        <v>17</v>
      </c>
      <c r="C74" s="5" t="s">
        <v>260</v>
      </c>
      <c r="D74" s="5" t="s">
        <v>261</v>
      </c>
      <c r="E74" s="5" t="s">
        <v>4</v>
      </c>
      <c r="F74" s="5" t="s">
        <v>32</v>
      </c>
      <c r="G74" s="5" t="s">
        <v>98</v>
      </c>
      <c r="H74" s="5"/>
      <c r="I74" s="5"/>
      <c r="J74" s="5"/>
    </row>
    <row r="75" spans="1:10" x14ac:dyDescent="0.25">
      <c r="A75" s="5" t="s">
        <v>262</v>
      </c>
      <c r="B75" s="5" t="s">
        <v>18</v>
      </c>
      <c r="C75" s="5" t="s">
        <v>263</v>
      </c>
      <c r="D75" s="5" t="s">
        <v>264</v>
      </c>
      <c r="E75" s="5" t="s">
        <v>4</v>
      </c>
      <c r="F75" s="5" t="s">
        <v>30</v>
      </c>
      <c r="G75" s="5" t="s">
        <v>265</v>
      </c>
      <c r="H75" s="5"/>
      <c r="I75" s="5"/>
      <c r="J75" s="5"/>
    </row>
    <row r="76" spans="1:10" x14ac:dyDescent="0.25">
      <c r="A76" s="5" t="s">
        <v>266</v>
      </c>
      <c r="B76" s="5" t="s">
        <v>18</v>
      </c>
      <c r="C76" s="5" t="s">
        <v>267</v>
      </c>
      <c r="D76" s="5" t="s">
        <v>268</v>
      </c>
      <c r="E76" s="5" t="s">
        <v>4</v>
      </c>
      <c r="F76" s="5" t="s">
        <v>30</v>
      </c>
      <c r="G76" s="5" t="s">
        <v>265</v>
      </c>
      <c r="H76" s="5"/>
      <c r="I76" s="5"/>
      <c r="J76" s="5"/>
    </row>
    <row r="77" spans="1:10" x14ac:dyDescent="0.25">
      <c r="A77" s="5" t="s">
        <v>269</v>
      </c>
      <c r="B77" s="5" t="s">
        <v>18</v>
      </c>
      <c r="C77" s="5" t="s">
        <v>270</v>
      </c>
      <c r="D77" s="5" t="s">
        <v>271</v>
      </c>
      <c r="E77" s="5" t="s">
        <v>4</v>
      </c>
      <c r="F77" s="5" t="s">
        <v>30</v>
      </c>
      <c r="G77" s="5" t="s">
        <v>265</v>
      </c>
      <c r="H77" s="5"/>
      <c r="I77" s="5"/>
      <c r="J77" s="5"/>
    </row>
    <row r="78" spans="1:10" x14ac:dyDescent="0.25">
      <c r="A78" s="5" t="s">
        <v>272</v>
      </c>
      <c r="B78" s="5" t="s">
        <v>18</v>
      </c>
      <c r="C78" s="5" t="s">
        <v>273</v>
      </c>
      <c r="D78" s="5" t="s">
        <v>274</v>
      </c>
      <c r="E78" s="5" t="s">
        <v>4</v>
      </c>
      <c r="F78" s="5" t="s">
        <v>30</v>
      </c>
      <c r="G78" s="5" t="s">
        <v>265</v>
      </c>
      <c r="H78" s="5"/>
      <c r="I78" s="5"/>
      <c r="J78" s="5"/>
    </row>
    <row r="79" spans="1:10" x14ac:dyDescent="0.25">
      <c r="A79" s="5" t="s">
        <v>275</v>
      </c>
      <c r="B79" s="5" t="s">
        <v>18</v>
      </c>
      <c r="C79" s="5" t="s">
        <v>276</v>
      </c>
      <c r="D79" s="5" t="s">
        <v>277</v>
      </c>
      <c r="E79" s="5" t="s">
        <v>4</v>
      </c>
      <c r="F79" s="5" t="s">
        <v>30</v>
      </c>
      <c r="G79" s="5" t="s">
        <v>265</v>
      </c>
      <c r="H79" s="5"/>
      <c r="I79" s="5"/>
      <c r="J79" s="5"/>
    </row>
    <row r="80" spans="1:10" x14ac:dyDescent="0.25">
      <c r="A80" s="5" t="s">
        <v>278</v>
      </c>
      <c r="B80" s="5" t="s">
        <v>18</v>
      </c>
      <c r="C80" s="5" t="s">
        <v>279</v>
      </c>
      <c r="D80" s="5" t="s">
        <v>280</v>
      </c>
      <c r="E80" s="5" t="s">
        <v>4</v>
      </c>
      <c r="F80" s="5" t="s">
        <v>30</v>
      </c>
      <c r="G80" s="5" t="s">
        <v>265</v>
      </c>
      <c r="H80" s="5"/>
      <c r="I80" s="5"/>
      <c r="J80" s="5"/>
    </row>
    <row r="81" spans="1:10" x14ac:dyDescent="0.25">
      <c r="A81" s="5" t="s">
        <v>281</v>
      </c>
      <c r="B81" s="5" t="s">
        <v>18</v>
      </c>
      <c r="C81" s="5" t="s">
        <v>282</v>
      </c>
      <c r="D81" s="5" t="s">
        <v>283</v>
      </c>
      <c r="E81" s="5" t="s">
        <v>4</v>
      </c>
      <c r="F81" s="5" t="s">
        <v>30</v>
      </c>
      <c r="G81" s="5" t="s">
        <v>265</v>
      </c>
      <c r="H81" s="5"/>
      <c r="I81" s="5"/>
      <c r="J81" s="5"/>
    </row>
    <row r="82" spans="1:10" x14ac:dyDescent="0.25">
      <c r="A82" s="5" t="s">
        <v>284</v>
      </c>
      <c r="B82" s="5" t="s">
        <v>18</v>
      </c>
      <c r="C82" s="5" t="s">
        <v>285</v>
      </c>
      <c r="D82" s="5" t="s">
        <v>286</v>
      </c>
      <c r="E82" s="5" t="s">
        <v>6</v>
      </c>
      <c r="F82" s="5" t="s">
        <v>30</v>
      </c>
      <c r="G82" s="5" t="s">
        <v>18</v>
      </c>
      <c r="H82" s="5"/>
      <c r="I82" s="5"/>
      <c r="J82" s="5"/>
    </row>
    <row r="83" spans="1:10" x14ac:dyDescent="0.25">
      <c r="A83" s="5" t="s">
        <v>287</v>
      </c>
      <c r="B83" s="5" t="s">
        <v>18</v>
      </c>
      <c r="C83" s="5" t="s">
        <v>288</v>
      </c>
      <c r="D83" s="5" t="s">
        <v>289</v>
      </c>
      <c r="E83" s="5" t="s">
        <v>6</v>
      </c>
      <c r="F83" s="5" t="s">
        <v>30</v>
      </c>
      <c r="G83" s="5" t="s">
        <v>22</v>
      </c>
      <c r="H83" s="5"/>
      <c r="I83" s="5"/>
      <c r="J83" s="5"/>
    </row>
    <row r="84" spans="1:10" x14ac:dyDescent="0.25">
      <c r="A84" s="5" t="s">
        <v>290</v>
      </c>
      <c r="B84" s="5" t="s">
        <v>18</v>
      </c>
      <c r="C84" s="5" t="s">
        <v>291</v>
      </c>
      <c r="D84" s="5" t="s">
        <v>292</v>
      </c>
      <c r="E84" s="5" t="s">
        <v>6</v>
      </c>
      <c r="F84" s="5" t="s">
        <v>30</v>
      </c>
      <c r="G84" s="5" t="s">
        <v>18</v>
      </c>
      <c r="H84" s="5"/>
      <c r="I84" s="5"/>
      <c r="J84" s="5"/>
    </row>
    <row r="85" spans="1:10" x14ac:dyDescent="0.25">
      <c r="A85" s="5" t="s">
        <v>293</v>
      </c>
      <c r="B85" s="5" t="s">
        <v>18</v>
      </c>
      <c r="C85" s="5" t="s">
        <v>294</v>
      </c>
      <c r="D85" s="5" t="s">
        <v>295</v>
      </c>
      <c r="E85" s="5" t="s">
        <v>6</v>
      </c>
      <c r="F85" s="5" t="s">
        <v>30</v>
      </c>
      <c r="G85" s="5" t="s">
        <v>265</v>
      </c>
      <c r="H85" s="5"/>
      <c r="I85" s="5"/>
      <c r="J85" s="5"/>
    </row>
    <row r="86" spans="1:10" x14ac:dyDescent="0.25">
      <c r="A86" s="5" t="s">
        <v>296</v>
      </c>
      <c r="B86" s="5" t="s">
        <v>19</v>
      </c>
      <c r="C86" s="5" t="s">
        <v>297</v>
      </c>
      <c r="D86" s="5" t="s">
        <v>298</v>
      </c>
      <c r="E86" s="5" t="s">
        <v>4</v>
      </c>
      <c r="F86" s="5" t="s">
        <v>30</v>
      </c>
      <c r="G86" s="5" t="s">
        <v>299</v>
      </c>
      <c r="H86" s="5"/>
      <c r="I86" s="5"/>
      <c r="J86" s="5"/>
    </row>
    <row r="87" spans="1:10" x14ac:dyDescent="0.25">
      <c r="A87" s="5" t="s">
        <v>300</v>
      </c>
      <c r="B87" s="5" t="s">
        <v>19</v>
      </c>
      <c r="C87" s="5" t="s">
        <v>301</v>
      </c>
      <c r="D87" s="5" t="s">
        <v>302</v>
      </c>
      <c r="E87" s="5" t="s">
        <v>4</v>
      </c>
      <c r="F87" s="5" t="s">
        <v>30</v>
      </c>
      <c r="G87" s="5" t="s">
        <v>299</v>
      </c>
      <c r="H87" s="5"/>
      <c r="I87" s="5"/>
      <c r="J87" s="5"/>
    </row>
    <row r="88" spans="1:10" x14ac:dyDescent="0.25">
      <c r="A88" s="5" t="s">
        <v>303</v>
      </c>
      <c r="B88" s="5" t="s">
        <v>19</v>
      </c>
      <c r="C88" s="5" t="s">
        <v>304</v>
      </c>
      <c r="D88" s="5" t="s">
        <v>305</v>
      </c>
      <c r="E88" s="5" t="s">
        <v>4</v>
      </c>
      <c r="F88" s="5" t="s">
        <v>30</v>
      </c>
      <c r="G88" s="5" t="s">
        <v>299</v>
      </c>
      <c r="H88" s="5"/>
      <c r="I88" s="5"/>
      <c r="J88" s="5"/>
    </row>
    <row r="89" spans="1:10" x14ac:dyDescent="0.25">
      <c r="A89" s="5" t="s">
        <v>306</v>
      </c>
      <c r="B89" s="5" t="s">
        <v>19</v>
      </c>
      <c r="C89" s="5" t="s">
        <v>307</v>
      </c>
      <c r="D89" s="5" t="s">
        <v>308</v>
      </c>
      <c r="E89" s="5" t="s">
        <v>4</v>
      </c>
      <c r="F89" s="5" t="s">
        <v>30</v>
      </c>
      <c r="G89" s="5" t="s">
        <v>299</v>
      </c>
      <c r="H89" s="5"/>
      <c r="I89" s="5"/>
      <c r="J89" s="5"/>
    </row>
    <row r="90" spans="1:10" x14ac:dyDescent="0.25">
      <c r="A90" s="5" t="s">
        <v>309</v>
      </c>
      <c r="B90" s="5" t="s">
        <v>19</v>
      </c>
      <c r="C90" s="5" t="s">
        <v>310</v>
      </c>
      <c r="D90" s="5" t="s">
        <v>311</v>
      </c>
      <c r="E90" s="5" t="s">
        <v>4</v>
      </c>
      <c r="F90" s="5" t="s">
        <v>31</v>
      </c>
      <c r="G90" s="5" t="s">
        <v>299</v>
      </c>
      <c r="H90" s="5"/>
      <c r="I90" s="5"/>
      <c r="J90" s="5"/>
    </row>
    <row r="91" spans="1:10" x14ac:dyDescent="0.25">
      <c r="A91" s="5" t="s">
        <v>312</v>
      </c>
      <c r="B91" s="5" t="s">
        <v>20</v>
      </c>
      <c r="C91" s="5" t="s">
        <v>313</v>
      </c>
      <c r="D91" s="5" t="s">
        <v>314</v>
      </c>
      <c r="E91" s="5" t="s">
        <v>4</v>
      </c>
      <c r="F91" s="5" t="s">
        <v>30</v>
      </c>
      <c r="G91" s="5" t="s">
        <v>299</v>
      </c>
      <c r="H91" s="5"/>
      <c r="I91" s="5"/>
      <c r="J91" s="5"/>
    </row>
    <row r="92" spans="1:10" x14ac:dyDescent="0.25">
      <c r="A92" s="5" t="s">
        <v>315</v>
      </c>
      <c r="B92" s="5" t="s">
        <v>21</v>
      </c>
      <c r="C92" s="5" t="s">
        <v>316</v>
      </c>
      <c r="D92" s="5" t="s">
        <v>317</v>
      </c>
      <c r="E92" s="5" t="s">
        <v>4</v>
      </c>
      <c r="F92" s="5" t="s">
        <v>30</v>
      </c>
      <c r="G92" s="5" t="s">
        <v>318</v>
      </c>
      <c r="H92" s="5"/>
      <c r="I92" s="5"/>
      <c r="J92" s="5"/>
    </row>
    <row r="93" spans="1:10" x14ac:dyDescent="0.25">
      <c r="A93" s="5" t="s">
        <v>319</v>
      </c>
      <c r="B93" s="5" t="s">
        <v>21</v>
      </c>
      <c r="C93" s="5" t="s">
        <v>320</v>
      </c>
      <c r="D93" s="5" t="s">
        <v>321</v>
      </c>
      <c r="E93" s="5" t="s">
        <v>4</v>
      </c>
      <c r="F93" s="5" t="s">
        <v>30</v>
      </c>
      <c r="G93" s="5" t="s">
        <v>318</v>
      </c>
      <c r="H93" s="5"/>
      <c r="I93" s="5"/>
      <c r="J93" s="5"/>
    </row>
    <row r="94" spans="1:10" x14ac:dyDescent="0.25">
      <c r="A94" s="5" t="s">
        <v>322</v>
      </c>
      <c r="B94" s="5" t="s">
        <v>21</v>
      </c>
      <c r="C94" s="5" t="s">
        <v>323</v>
      </c>
      <c r="D94" s="5" t="s">
        <v>324</v>
      </c>
      <c r="E94" s="5" t="s">
        <v>4</v>
      </c>
      <c r="F94" s="5" t="s">
        <v>30</v>
      </c>
      <c r="G94" s="5" t="s">
        <v>318</v>
      </c>
      <c r="H94" s="5"/>
      <c r="I94" s="5"/>
      <c r="J94" s="5"/>
    </row>
    <row r="95" spans="1:10" x14ac:dyDescent="0.25">
      <c r="A95" s="5" t="s">
        <v>325</v>
      </c>
      <c r="B95" s="5" t="s">
        <v>21</v>
      </c>
      <c r="C95" s="5" t="s">
        <v>326</v>
      </c>
      <c r="D95" s="5" t="s">
        <v>327</v>
      </c>
      <c r="E95" s="5" t="s">
        <v>4</v>
      </c>
      <c r="F95" s="5" t="s">
        <v>30</v>
      </c>
      <c r="G95" s="5" t="s">
        <v>318</v>
      </c>
      <c r="H95" s="5"/>
      <c r="I95" s="5"/>
      <c r="J95" s="5"/>
    </row>
    <row r="96" spans="1:10" x14ac:dyDescent="0.25">
      <c r="A96" s="5" t="s">
        <v>328</v>
      </c>
      <c r="B96" s="5" t="s">
        <v>21</v>
      </c>
      <c r="C96" s="5" t="s">
        <v>329</v>
      </c>
      <c r="D96" s="5" t="s">
        <v>330</v>
      </c>
      <c r="E96" s="5" t="s">
        <v>6</v>
      </c>
      <c r="F96" s="5" t="s">
        <v>30</v>
      </c>
      <c r="G96" s="5" t="s">
        <v>331</v>
      </c>
      <c r="H96" s="5"/>
      <c r="I96" s="5"/>
      <c r="J96" s="5"/>
    </row>
    <row r="97" spans="1:10" x14ac:dyDescent="0.25">
      <c r="A97" s="5" t="s">
        <v>332</v>
      </c>
      <c r="B97" s="5" t="s">
        <v>22</v>
      </c>
      <c r="C97" s="5" t="s">
        <v>333</v>
      </c>
      <c r="D97" s="5" t="s">
        <v>334</v>
      </c>
      <c r="E97" s="5" t="s">
        <v>6</v>
      </c>
      <c r="F97" s="5" t="s">
        <v>30</v>
      </c>
      <c r="G97" s="5" t="s">
        <v>22</v>
      </c>
      <c r="H97" s="5"/>
      <c r="I97" s="5"/>
      <c r="J97" s="5"/>
    </row>
    <row r="98" spans="1:10" x14ac:dyDescent="0.25">
      <c r="A98" s="5" t="s">
        <v>335</v>
      </c>
      <c r="B98" s="5" t="s">
        <v>22</v>
      </c>
      <c r="C98" s="5" t="s">
        <v>336</v>
      </c>
      <c r="D98" s="5" t="s">
        <v>337</v>
      </c>
      <c r="E98" s="5" t="s">
        <v>6</v>
      </c>
      <c r="F98" s="5" t="s">
        <v>30</v>
      </c>
      <c r="G98" s="5" t="s">
        <v>205</v>
      </c>
      <c r="H98" s="5"/>
      <c r="I98" s="5"/>
      <c r="J98" s="5"/>
    </row>
    <row r="99" spans="1:10" x14ac:dyDescent="0.25">
      <c r="A99" s="5" t="s">
        <v>338</v>
      </c>
      <c r="B99" s="5" t="s">
        <v>22</v>
      </c>
      <c r="C99" s="5" t="s">
        <v>339</v>
      </c>
      <c r="D99" s="5" t="s">
        <v>340</v>
      </c>
      <c r="E99" s="5" t="s">
        <v>6</v>
      </c>
      <c r="F99" s="5" t="s">
        <v>30</v>
      </c>
      <c r="G99" s="5" t="s">
        <v>205</v>
      </c>
      <c r="H99" s="5"/>
      <c r="I99" s="5"/>
      <c r="J99" s="5"/>
    </row>
    <row r="100" spans="1:10" x14ac:dyDescent="0.25">
      <c r="A100" s="5" t="s">
        <v>341</v>
      </c>
      <c r="B100" s="5" t="s">
        <v>22</v>
      </c>
      <c r="C100" s="5" t="s">
        <v>342</v>
      </c>
      <c r="D100" s="5" t="s">
        <v>343</v>
      </c>
      <c r="E100" s="5" t="s">
        <v>6</v>
      </c>
      <c r="F100" s="5" t="s">
        <v>31</v>
      </c>
      <c r="G100" s="5" t="s">
        <v>22</v>
      </c>
      <c r="H100" s="5"/>
      <c r="I100" s="5"/>
      <c r="J100" s="5"/>
    </row>
    <row r="101" spans="1:10" x14ac:dyDescent="0.25">
      <c r="A101" s="5" t="s">
        <v>344</v>
      </c>
      <c r="B101" s="5" t="s">
        <v>22</v>
      </c>
      <c r="C101" s="5" t="s">
        <v>345</v>
      </c>
      <c r="D101" s="5" t="s">
        <v>346</v>
      </c>
      <c r="E101" s="5" t="s">
        <v>6</v>
      </c>
      <c r="F101" s="5" t="s">
        <v>31</v>
      </c>
      <c r="G101" s="5" t="s">
        <v>205</v>
      </c>
      <c r="H101" s="5"/>
      <c r="I101" s="5"/>
      <c r="J101" s="5"/>
    </row>
    <row r="102" spans="1:10" x14ac:dyDescent="0.25">
      <c r="A102" s="5" t="s">
        <v>347</v>
      </c>
      <c r="B102" s="5" t="s">
        <v>22</v>
      </c>
      <c r="C102" s="5" t="s">
        <v>348</v>
      </c>
      <c r="D102" s="5" t="s">
        <v>349</v>
      </c>
      <c r="E102" s="5" t="s">
        <v>6</v>
      </c>
      <c r="F102" s="5" t="s">
        <v>31</v>
      </c>
      <c r="G102" s="5" t="s">
        <v>205</v>
      </c>
      <c r="H102" s="5"/>
      <c r="I102" s="5"/>
      <c r="J102" s="5"/>
    </row>
    <row r="103" spans="1:10" x14ac:dyDescent="0.25">
      <c r="A103" s="5" t="s">
        <v>350</v>
      </c>
      <c r="B103" s="5" t="s">
        <v>22</v>
      </c>
      <c r="C103" s="5" t="s">
        <v>351</v>
      </c>
      <c r="D103" s="5" t="s">
        <v>352</v>
      </c>
      <c r="E103" s="5" t="s">
        <v>6</v>
      </c>
      <c r="F103" s="5" t="s">
        <v>31</v>
      </c>
      <c r="G103" s="5" t="s">
        <v>353</v>
      </c>
      <c r="H103" s="5"/>
      <c r="I103" s="5"/>
      <c r="J103" s="5"/>
    </row>
    <row r="104" spans="1:10" x14ac:dyDescent="0.25">
      <c r="A104" s="5" t="s">
        <v>354</v>
      </c>
      <c r="B104" s="5" t="s">
        <v>23</v>
      </c>
      <c r="C104" s="5" t="s">
        <v>355</v>
      </c>
      <c r="D104" s="5" t="s">
        <v>356</v>
      </c>
      <c r="E104" s="5" t="s">
        <v>6</v>
      </c>
      <c r="F104" s="5" t="s">
        <v>30</v>
      </c>
      <c r="G104" s="5" t="s">
        <v>23</v>
      </c>
      <c r="H104" s="5"/>
      <c r="I104" s="5"/>
      <c r="J104" s="5"/>
    </row>
    <row r="105" spans="1:10" x14ac:dyDescent="0.25">
      <c r="A105" s="5" t="s">
        <v>357</v>
      </c>
      <c r="B105" s="5" t="s">
        <v>23</v>
      </c>
      <c r="C105" s="5" t="s">
        <v>358</v>
      </c>
      <c r="D105" s="5" t="s">
        <v>359</v>
      </c>
      <c r="E105" s="5" t="s">
        <v>6</v>
      </c>
      <c r="F105" s="5" t="s">
        <v>30</v>
      </c>
      <c r="G105" s="5" t="s">
        <v>23</v>
      </c>
      <c r="H105" s="5"/>
      <c r="I105" s="5"/>
      <c r="J105" s="5"/>
    </row>
    <row r="106" spans="1:10" x14ac:dyDescent="0.25">
      <c r="A106" s="5" t="s">
        <v>360</v>
      </c>
      <c r="B106" s="5" t="s">
        <v>23</v>
      </c>
      <c r="C106" s="5" t="s">
        <v>361</v>
      </c>
      <c r="D106" s="5" t="s">
        <v>362</v>
      </c>
      <c r="E106" s="5" t="s">
        <v>6</v>
      </c>
      <c r="F106" s="5" t="s">
        <v>31</v>
      </c>
      <c r="G106" s="5" t="s">
        <v>23</v>
      </c>
      <c r="H106" s="5"/>
      <c r="I106" s="5"/>
      <c r="J106" s="5"/>
    </row>
    <row r="107" spans="1:10" x14ac:dyDescent="0.25">
      <c r="A107" s="5" t="s">
        <v>363</v>
      </c>
      <c r="B107" s="5" t="s">
        <v>23</v>
      </c>
      <c r="C107" s="5" t="s">
        <v>364</v>
      </c>
      <c r="D107" s="5" t="s">
        <v>365</v>
      </c>
      <c r="E107" s="5" t="s">
        <v>6</v>
      </c>
      <c r="F107" s="5" t="s">
        <v>31</v>
      </c>
      <c r="G107" s="5" t="s">
        <v>366</v>
      </c>
      <c r="H107" s="5"/>
      <c r="I107" s="5"/>
      <c r="J107" s="5"/>
    </row>
    <row r="108" spans="1:10" x14ac:dyDescent="0.25">
      <c r="A108" s="5" t="s">
        <v>367</v>
      </c>
      <c r="B108" s="5" t="s">
        <v>24</v>
      </c>
      <c r="C108" s="5" t="s">
        <v>368</v>
      </c>
      <c r="D108" s="5" t="s">
        <v>369</v>
      </c>
      <c r="E108" s="5" t="s">
        <v>6</v>
      </c>
      <c r="F108" s="5" t="s">
        <v>32</v>
      </c>
      <c r="G108" s="5" t="s">
        <v>24</v>
      </c>
      <c r="H108" s="5"/>
      <c r="I108" s="5"/>
      <c r="J108" s="5"/>
    </row>
    <row r="109" spans="1:10" x14ac:dyDescent="0.25">
      <c r="A109" s="5" t="s">
        <v>370</v>
      </c>
      <c r="B109" s="5" t="s">
        <v>24</v>
      </c>
      <c r="C109" s="5" t="s">
        <v>371</v>
      </c>
      <c r="D109" s="5" t="s">
        <v>372</v>
      </c>
      <c r="E109" s="5" t="s">
        <v>5</v>
      </c>
      <c r="F109" s="5" t="s">
        <v>31</v>
      </c>
      <c r="G109" s="5" t="s">
        <v>24</v>
      </c>
      <c r="H109" s="5"/>
      <c r="I109" s="5"/>
      <c r="J109" s="5"/>
    </row>
    <row r="110" spans="1:10" x14ac:dyDescent="0.25">
      <c r="A110" s="5" t="s">
        <v>373</v>
      </c>
      <c r="B110" s="5" t="s">
        <v>25</v>
      </c>
      <c r="C110" s="5" t="s">
        <v>374</v>
      </c>
      <c r="D110" s="5" t="s">
        <v>375</v>
      </c>
      <c r="E110" s="5" t="s">
        <v>6</v>
      </c>
      <c r="F110" s="5" t="s">
        <v>30</v>
      </c>
      <c r="G110" s="5" t="s">
        <v>25</v>
      </c>
      <c r="H110" s="5"/>
      <c r="I110" s="5"/>
      <c r="J110" s="5"/>
    </row>
    <row r="111" spans="1:10" x14ac:dyDescent="0.25">
      <c r="A111" s="5" t="s">
        <v>376</v>
      </c>
      <c r="B111" s="5" t="s">
        <v>25</v>
      </c>
      <c r="C111" s="5" t="s">
        <v>377</v>
      </c>
      <c r="D111" s="5" t="s">
        <v>378</v>
      </c>
      <c r="E111" s="5" t="s">
        <v>6</v>
      </c>
      <c r="F111" s="5" t="s">
        <v>31</v>
      </c>
      <c r="G111" s="5" t="s">
        <v>25</v>
      </c>
      <c r="H111" s="5"/>
      <c r="I111" s="5"/>
      <c r="J111" s="5"/>
    </row>
  </sheetData>
  <autoFilter ref="A1:J111" xr:uid="{00000000-0009-0000-0000-000001000000}"/>
  <conditionalFormatting sqref="E2:E500">
    <cfRule type="cellIs" dxfId="13" priority="2" operator="equal">
      <formula>"Completed"</formula>
    </cfRule>
    <cfRule type="cellIs" dxfId="12" priority="3" operator="equal">
      <formula>"In Progress"</formula>
    </cfRule>
    <cfRule type="cellIs" dxfId="11" priority="4" operator="equal">
      <formula>"Pending"</formula>
    </cfRule>
    <cfRule type="cellIs" dxfId="10" priority="5" operator="equal">
      <formula>"Blocked"</formula>
    </cfRule>
  </conditionalFormatting>
  <conditionalFormatting sqref="H2:H500">
    <cfRule type="cellIs" dxfId="9" priority="6" operator="equal">
      <formula>"Pass"</formula>
    </cfRule>
    <cfRule type="cellIs" dxfId="8" priority="7" operator="equal">
      <formula>"Fail"</formula>
    </cfRule>
    <cfRule type="cellIs" dxfId="7" priority="8" operator="equal">
      <formula>"Skipped"</formula>
    </cfRule>
  </conditionalFormatting>
  <dataValidations count="3">
    <dataValidation type="list" allowBlank="1" sqref="E2:E500" xr:uid="{00000000-0002-0000-0100-000000000000}">
      <formula1>"Completed,In Progress,Pending,Blocked"</formula1>
      <formula2>0</formula2>
    </dataValidation>
    <dataValidation type="list" allowBlank="1" sqref="F2:F500" xr:uid="{00000000-0002-0000-0100-000001000000}">
      <formula1>"High,Medium,Low"</formula1>
      <formula2>0</formula2>
    </dataValidation>
    <dataValidation type="list" allowBlank="1" sqref="H2:H500" xr:uid="{00000000-0002-0000-0100-000002000000}">
      <formula1>"Pass,Fail,Skipped,Not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ColWidth="8.7109375" defaultRowHeight="15" x14ac:dyDescent="0.25"/>
  <cols>
    <col min="1" max="1" width="10" customWidth="1"/>
    <col min="2" max="2" width="16" customWidth="1"/>
    <col min="3" max="3" width="22" customWidth="1"/>
    <col min="4" max="4" width="66" customWidth="1"/>
    <col min="5" max="5" width="13" customWidth="1"/>
    <col min="6" max="6" width="10" customWidth="1"/>
    <col min="7" max="7" width="18" customWidth="1"/>
    <col min="8" max="8" width="16" customWidth="1"/>
    <col min="9" max="9" width="28" customWidth="1"/>
    <col min="10" max="10" width="52" customWidth="1"/>
  </cols>
  <sheetData>
    <row r="1" spans="1:10" ht="24" customHeight="1" x14ac:dyDescent="0.25">
      <c r="A1" s="4" t="s">
        <v>38</v>
      </c>
      <c r="B1" s="4" t="s">
        <v>10</v>
      </c>
      <c r="C1" s="4" t="s">
        <v>39</v>
      </c>
      <c r="D1" s="4" t="s">
        <v>40</v>
      </c>
      <c r="E1" s="4" t="s">
        <v>2</v>
      </c>
      <c r="F1" s="4" t="s">
        <v>41</v>
      </c>
      <c r="G1" s="4" t="s">
        <v>42</v>
      </c>
      <c r="H1" s="4" t="s">
        <v>33</v>
      </c>
      <c r="I1" s="4" t="s">
        <v>43</v>
      </c>
      <c r="J1" s="4" t="s">
        <v>44</v>
      </c>
    </row>
    <row r="2" spans="1:10" ht="25.5" x14ac:dyDescent="0.25">
      <c r="A2" s="5" t="s">
        <v>382</v>
      </c>
      <c r="B2" s="5" t="s">
        <v>19</v>
      </c>
      <c r="C2" s="5" t="s">
        <v>383</v>
      </c>
      <c r="D2" s="5" t="s">
        <v>384</v>
      </c>
      <c r="E2" s="5" t="s">
        <v>5</v>
      </c>
      <c r="F2" s="5" t="s">
        <v>30</v>
      </c>
      <c r="G2" s="5" t="s">
        <v>152</v>
      </c>
      <c r="H2" s="5"/>
      <c r="I2" s="5"/>
      <c r="J2" s="5" t="s">
        <v>385</v>
      </c>
    </row>
    <row r="3" spans="1:10" ht="25.5" x14ac:dyDescent="0.25">
      <c r="A3" s="5" t="s">
        <v>386</v>
      </c>
      <c r="B3" s="5" t="s">
        <v>19</v>
      </c>
      <c r="C3" s="5" t="s">
        <v>387</v>
      </c>
      <c r="D3" s="5" t="s">
        <v>388</v>
      </c>
      <c r="E3" s="5" t="s">
        <v>5</v>
      </c>
      <c r="F3" s="5" t="s">
        <v>30</v>
      </c>
      <c r="G3" s="5" t="s">
        <v>152</v>
      </c>
      <c r="H3" s="5"/>
      <c r="I3" s="5"/>
      <c r="J3" s="5" t="s">
        <v>389</v>
      </c>
    </row>
    <row r="4" spans="1:10" ht="30" x14ac:dyDescent="0.25">
      <c r="A4" s="5" t="s">
        <v>390</v>
      </c>
      <c r="B4" s="20" t="s">
        <v>601</v>
      </c>
      <c r="C4" s="20" t="s">
        <v>603</v>
      </c>
      <c r="D4" s="25" t="s">
        <v>600</v>
      </c>
      <c r="E4" s="5"/>
      <c r="F4" s="5"/>
      <c r="G4" s="5"/>
      <c r="H4" s="5"/>
      <c r="I4" s="5"/>
      <c r="J4" s="5"/>
    </row>
    <row r="5" spans="1:10" ht="25.5" x14ac:dyDescent="0.25">
      <c r="A5" s="5" t="s">
        <v>391</v>
      </c>
      <c r="B5" s="20" t="s">
        <v>601</v>
      </c>
      <c r="C5" s="20" t="s">
        <v>603</v>
      </c>
      <c r="D5" s="20" t="s">
        <v>602</v>
      </c>
      <c r="E5" s="5"/>
      <c r="F5" s="5"/>
      <c r="G5" s="5"/>
      <c r="H5" s="5"/>
      <c r="I5" s="5"/>
      <c r="J5" s="5"/>
    </row>
    <row r="6" spans="1:10" ht="25.5" x14ac:dyDescent="0.25">
      <c r="A6" s="5" t="s">
        <v>392</v>
      </c>
      <c r="B6" s="5" t="s">
        <v>19</v>
      </c>
      <c r="C6" s="5" t="s">
        <v>393</v>
      </c>
      <c r="D6" s="5" t="s">
        <v>394</v>
      </c>
      <c r="E6" s="5" t="s">
        <v>4</v>
      </c>
      <c r="F6" s="5" t="s">
        <v>31</v>
      </c>
      <c r="G6" s="5" t="s">
        <v>299</v>
      </c>
      <c r="H6" s="5"/>
      <c r="I6" s="5"/>
      <c r="J6" s="5" t="s">
        <v>395</v>
      </c>
    </row>
    <row r="7" spans="1:10" x14ac:dyDescent="0.25">
      <c r="A7" s="5" t="s">
        <v>396</v>
      </c>
      <c r="B7" s="5" t="s">
        <v>23</v>
      </c>
      <c r="C7" s="5" t="s">
        <v>397</v>
      </c>
      <c r="D7" s="24" t="s">
        <v>398</v>
      </c>
      <c r="E7" s="5" t="s">
        <v>6</v>
      </c>
      <c r="F7" s="5" t="s">
        <v>31</v>
      </c>
      <c r="G7" s="5" t="s">
        <v>23</v>
      </c>
      <c r="H7" s="5"/>
      <c r="I7" s="5"/>
      <c r="J7" s="5" t="s">
        <v>399</v>
      </c>
    </row>
    <row r="8" spans="1:10" ht="25.5" x14ac:dyDescent="0.25">
      <c r="A8" s="5" t="s">
        <v>400</v>
      </c>
      <c r="B8" s="5" t="s">
        <v>23</v>
      </c>
      <c r="C8" s="5" t="s">
        <v>401</v>
      </c>
      <c r="D8" s="5" t="s">
        <v>402</v>
      </c>
      <c r="E8" s="5" t="s">
        <v>6</v>
      </c>
      <c r="F8" s="5" t="s">
        <v>30</v>
      </c>
      <c r="G8" s="5" t="s">
        <v>23</v>
      </c>
      <c r="H8" s="5"/>
      <c r="I8" s="5"/>
      <c r="J8" s="5" t="s">
        <v>403</v>
      </c>
    </row>
    <row r="9" spans="1:10" ht="25.5" x14ac:dyDescent="0.25">
      <c r="A9" s="5" t="s">
        <v>404</v>
      </c>
      <c r="B9" s="5" t="s">
        <v>23</v>
      </c>
      <c r="C9" s="5" t="s">
        <v>405</v>
      </c>
      <c r="D9" s="5" t="s">
        <v>406</v>
      </c>
      <c r="E9" s="5" t="s">
        <v>6</v>
      </c>
      <c r="F9" s="5" t="s">
        <v>31</v>
      </c>
      <c r="G9" s="5" t="s">
        <v>24</v>
      </c>
      <c r="H9" s="5"/>
      <c r="I9" s="5"/>
      <c r="J9" s="5" t="s">
        <v>407</v>
      </c>
    </row>
    <row r="10" spans="1:10" x14ac:dyDescent="0.25">
      <c r="A10" s="5" t="s">
        <v>408</v>
      </c>
      <c r="B10" s="5" t="s">
        <v>23</v>
      </c>
      <c r="C10" s="20" t="s">
        <v>599</v>
      </c>
      <c r="D10" s="5" t="s">
        <v>410</v>
      </c>
      <c r="E10" s="5" t="s">
        <v>4</v>
      </c>
      <c r="F10" s="5" t="s">
        <v>32</v>
      </c>
      <c r="G10" s="5" t="s">
        <v>23</v>
      </c>
      <c r="H10" s="5"/>
      <c r="I10" s="5"/>
      <c r="J10" s="5"/>
    </row>
    <row r="11" spans="1:10" x14ac:dyDescent="0.25">
      <c r="A11" s="5" t="s">
        <v>409</v>
      </c>
      <c r="B11" s="5" t="s">
        <v>24</v>
      </c>
      <c r="C11" s="5" t="s">
        <v>412</v>
      </c>
      <c r="D11" s="5" t="s">
        <v>413</v>
      </c>
      <c r="E11" s="5" t="s">
        <v>6</v>
      </c>
      <c r="F11" s="5" t="s">
        <v>32</v>
      </c>
      <c r="G11" s="5" t="s">
        <v>24</v>
      </c>
      <c r="H11" s="5"/>
      <c r="I11" s="5"/>
      <c r="J11" s="5" t="s">
        <v>414</v>
      </c>
    </row>
    <row r="12" spans="1:10" x14ac:dyDescent="0.25">
      <c r="A12" s="5" t="s">
        <v>411</v>
      </c>
      <c r="B12" s="5" t="s">
        <v>18</v>
      </c>
      <c r="C12" s="5" t="s">
        <v>416</v>
      </c>
      <c r="D12" s="5" t="s">
        <v>417</v>
      </c>
      <c r="E12" s="5" t="s">
        <v>6</v>
      </c>
      <c r="F12" s="5" t="s">
        <v>30</v>
      </c>
      <c r="G12" s="5" t="s">
        <v>265</v>
      </c>
      <c r="H12" s="5"/>
      <c r="I12" s="5"/>
      <c r="J12" s="5" t="s">
        <v>418</v>
      </c>
    </row>
    <row r="13" spans="1:10" x14ac:dyDescent="0.25">
      <c r="A13" s="5" t="s">
        <v>415</v>
      </c>
      <c r="B13" s="5" t="s">
        <v>18</v>
      </c>
      <c r="C13" s="20" t="s">
        <v>598</v>
      </c>
      <c r="D13" s="5" t="s">
        <v>420</v>
      </c>
      <c r="E13" s="5" t="s">
        <v>6</v>
      </c>
      <c r="F13" s="5" t="s">
        <v>31</v>
      </c>
      <c r="G13" s="5" t="s">
        <v>18</v>
      </c>
      <c r="H13" s="5"/>
      <c r="I13" s="5"/>
      <c r="J13" s="5" t="s">
        <v>421</v>
      </c>
    </row>
    <row r="14" spans="1:10" x14ac:dyDescent="0.25">
      <c r="A14" s="5" t="s">
        <v>419</v>
      </c>
      <c r="B14" s="5" t="s">
        <v>18</v>
      </c>
      <c r="C14" s="5" t="s">
        <v>423</v>
      </c>
      <c r="D14" s="5" t="s">
        <v>424</v>
      </c>
      <c r="E14" s="5" t="s">
        <v>6</v>
      </c>
      <c r="F14" s="5" t="s">
        <v>31</v>
      </c>
      <c r="G14" s="5" t="s">
        <v>205</v>
      </c>
      <c r="H14" s="5"/>
      <c r="I14" s="5"/>
      <c r="J14" s="5"/>
    </row>
    <row r="15" spans="1:10" x14ac:dyDescent="0.25">
      <c r="A15" s="5" t="s">
        <v>422</v>
      </c>
      <c r="B15" s="5" t="s">
        <v>18</v>
      </c>
      <c r="C15" s="5" t="s">
        <v>429</v>
      </c>
      <c r="D15" s="5" t="s">
        <v>430</v>
      </c>
      <c r="E15" s="5" t="s">
        <v>6</v>
      </c>
      <c r="F15" s="5" t="s">
        <v>31</v>
      </c>
      <c r="G15" s="5" t="s">
        <v>22</v>
      </c>
      <c r="H15" s="5"/>
      <c r="I15" s="5"/>
      <c r="J15" s="5"/>
    </row>
    <row r="16" spans="1:10" ht="25.5" x14ac:dyDescent="0.25">
      <c r="A16" s="5" t="s">
        <v>425</v>
      </c>
      <c r="B16" s="5" t="s">
        <v>18</v>
      </c>
      <c r="C16" s="5" t="s">
        <v>432</v>
      </c>
      <c r="D16" s="5" t="s">
        <v>433</v>
      </c>
      <c r="E16" s="5" t="s">
        <v>6</v>
      </c>
      <c r="F16" s="5" t="s">
        <v>31</v>
      </c>
      <c r="G16" s="5" t="s">
        <v>18</v>
      </c>
      <c r="H16" s="5"/>
      <c r="I16" s="5"/>
      <c r="J16" s="5" t="s">
        <v>434</v>
      </c>
    </row>
    <row r="17" spans="1:10" ht="25.5" x14ac:dyDescent="0.25">
      <c r="A17" s="5" t="s">
        <v>427</v>
      </c>
      <c r="B17" s="5" t="s">
        <v>26</v>
      </c>
      <c r="C17" s="5" t="s">
        <v>436</v>
      </c>
      <c r="D17" s="5" t="s">
        <v>437</v>
      </c>
      <c r="E17" s="5" t="s">
        <v>4</v>
      </c>
      <c r="F17" s="5" t="s">
        <v>30</v>
      </c>
      <c r="G17" s="5" t="s">
        <v>98</v>
      </c>
      <c r="H17" s="5"/>
      <c r="I17" s="5"/>
      <c r="J17" s="5" t="s">
        <v>438</v>
      </c>
    </row>
    <row r="18" spans="1:10" x14ac:dyDescent="0.25">
      <c r="A18" s="5" t="s">
        <v>428</v>
      </c>
      <c r="B18" s="5" t="s">
        <v>26</v>
      </c>
      <c r="C18" s="5" t="s">
        <v>440</v>
      </c>
      <c r="D18" s="5" t="s">
        <v>441</v>
      </c>
      <c r="E18" s="5" t="s">
        <v>6</v>
      </c>
      <c r="F18" s="5" t="s">
        <v>31</v>
      </c>
      <c r="G18" s="5" t="s">
        <v>98</v>
      </c>
      <c r="H18" s="5"/>
      <c r="I18" s="5"/>
      <c r="J18" s="5"/>
    </row>
    <row r="19" spans="1:10" x14ac:dyDescent="0.25">
      <c r="A19" s="5" t="s">
        <v>431</v>
      </c>
      <c r="B19" s="5" t="s">
        <v>26</v>
      </c>
      <c r="C19" s="5" t="s">
        <v>443</v>
      </c>
      <c r="D19" s="5" t="s">
        <v>444</v>
      </c>
      <c r="E19" s="5" t="s">
        <v>6</v>
      </c>
      <c r="F19" s="5" t="s">
        <v>32</v>
      </c>
      <c r="G19" s="5" t="s">
        <v>98</v>
      </c>
      <c r="H19" s="5"/>
      <c r="I19" s="5"/>
      <c r="J19" s="5"/>
    </row>
    <row r="20" spans="1:10" x14ac:dyDescent="0.25">
      <c r="A20" s="5" t="s">
        <v>435</v>
      </c>
      <c r="B20" s="5" t="s">
        <v>27</v>
      </c>
      <c r="C20" s="5" t="s">
        <v>446</v>
      </c>
      <c r="D20" s="5" t="s">
        <v>447</v>
      </c>
      <c r="E20" s="5" t="s">
        <v>6</v>
      </c>
      <c r="F20" s="5" t="s">
        <v>30</v>
      </c>
      <c r="G20" s="5" t="s">
        <v>22</v>
      </c>
      <c r="H20" s="5"/>
      <c r="I20" s="5"/>
      <c r="J20" s="5" t="s">
        <v>448</v>
      </c>
    </row>
    <row r="21" spans="1:10" ht="25.5" x14ac:dyDescent="0.25">
      <c r="A21" s="5" t="s">
        <v>439</v>
      </c>
      <c r="B21" s="5" t="s">
        <v>27</v>
      </c>
      <c r="C21" s="5" t="s">
        <v>450</v>
      </c>
      <c r="D21" s="5" t="s">
        <v>451</v>
      </c>
      <c r="E21" s="5" t="s">
        <v>6</v>
      </c>
      <c r="F21" s="5" t="s">
        <v>30</v>
      </c>
      <c r="G21" s="5" t="s">
        <v>22</v>
      </c>
      <c r="H21" s="5"/>
      <c r="I21" s="5"/>
      <c r="J21" s="5" t="s">
        <v>452</v>
      </c>
    </row>
    <row r="22" spans="1:10" x14ac:dyDescent="0.25">
      <c r="A22" s="5" t="s">
        <v>442</v>
      </c>
      <c r="B22" s="5" t="s">
        <v>27</v>
      </c>
      <c r="C22" s="5" t="s">
        <v>454</v>
      </c>
      <c r="D22" s="5" t="s">
        <v>455</v>
      </c>
      <c r="E22" s="5" t="s">
        <v>6</v>
      </c>
      <c r="F22" s="5" t="s">
        <v>31</v>
      </c>
      <c r="G22" s="5" t="s">
        <v>22</v>
      </c>
      <c r="H22" s="5"/>
      <c r="I22" s="5"/>
      <c r="J22" s="5" t="s">
        <v>448</v>
      </c>
    </row>
    <row r="23" spans="1:10" x14ac:dyDescent="0.25">
      <c r="A23" s="5" t="s">
        <v>445</v>
      </c>
      <c r="B23" s="5" t="s">
        <v>15</v>
      </c>
      <c r="C23" s="5" t="s">
        <v>457</v>
      </c>
      <c r="D23" s="5" t="s">
        <v>458</v>
      </c>
      <c r="E23" s="5" t="s">
        <v>6</v>
      </c>
      <c r="F23" s="5" t="s">
        <v>31</v>
      </c>
      <c r="G23" s="5" t="s">
        <v>198</v>
      </c>
      <c r="H23" s="5"/>
      <c r="I23" s="5"/>
      <c r="J23" s="5"/>
    </row>
    <row r="24" spans="1:10" x14ac:dyDescent="0.25">
      <c r="A24" s="5" t="s">
        <v>449</v>
      </c>
      <c r="B24" s="5" t="s">
        <v>15</v>
      </c>
      <c r="C24" s="5" t="s">
        <v>460</v>
      </c>
      <c r="D24" s="5" t="s">
        <v>461</v>
      </c>
      <c r="E24" s="5" t="s">
        <v>6</v>
      </c>
      <c r="F24" s="5" t="s">
        <v>32</v>
      </c>
      <c r="G24" s="5" t="s">
        <v>198</v>
      </c>
      <c r="H24" s="5"/>
      <c r="I24" s="5"/>
      <c r="J24" s="5" t="s">
        <v>462</v>
      </c>
    </row>
    <row r="25" spans="1:10" x14ac:dyDescent="0.25">
      <c r="A25" s="5" t="s">
        <v>453</v>
      </c>
      <c r="B25" s="5" t="s">
        <v>15</v>
      </c>
      <c r="C25" s="5" t="s">
        <v>464</v>
      </c>
      <c r="D25" s="5" t="s">
        <v>465</v>
      </c>
      <c r="E25" s="5" t="s">
        <v>6</v>
      </c>
      <c r="F25" s="5" t="s">
        <v>31</v>
      </c>
      <c r="G25" s="5" t="s">
        <v>205</v>
      </c>
      <c r="H25" s="5"/>
      <c r="I25" s="5"/>
      <c r="J25" s="5" t="s">
        <v>466</v>
      </c>
    </row>
    <row r="26" spans="1:10" x14ac:dyDescent="0.25">
      <c r="A26" s="5" t="s">
        <v>456</v>
      </c>
      <c r="B26" s="5" t="s">
        <v>16</v>
      </c>
      <c r="C26" s="5" t="s">
        <v>457</v>
      </c>
      <c r="D26" s="5" t="s">
        <v>468</v>
      </c>
      <c r="E26" s="5" t="s">
        <v>6</v>
      </c>
      <c r="F26" s="5" t="s">
        <v>31</v>
      </c>
      <c r="G26" s="5" t="s">
        <v>198</v>
      </c>
      <c r="H26" s="5"/>
      <c r="I26" s="5"/>
      <c r="J26" s="5"/>
    </row>
    <row r="27" spans="1:10" ht="25.5" x14ac:dyDescent="0.25">
      <c r="A27" s="5" t="s">
        <v>459</v>
      </c>
      <c r="B27" s="5" t="s">
        <v>14</v>
      </c>
      <c r="C27" s="5" t="s">
        <v>469</v>
      </c>
      <c r="D27" s="5" t="s">
        <v>470</v>
      </c>
      <c r="E27" s="5" t="s">
        <v>6</v>
      </c>
      <c r="F27" s="5" t="s">
        <v>31</v>
      </c>
      <c r="G27" s="5" t="s">
        <v>98</v>
      </c>
      <c r="H27" s="5"/>
      <c r="I27" s="5"/>
      <c r="J27" s="5" t="s">
        <v>421</v>
      </c>
    </row>
    <row r="28" spans="1:10" x14ac:dyDescent="0.25">
      <c r="A28" s="5" t="s">
        <v>463</v>
      </c>
      <c r="B28" s="5" t="s">
        <v>14</v>
      </c>
      <c r="C28" s="5" t="s">
        <v>471</v>
      </c>
      <c r="D28" s="5" t="s">
        <v>472</v>
      </c>
      <c r="E28" s="5" t="s">
        <v>6</v>
      </c>
      <c r="F28" s="5" t="s">
        <v>30</v>
      </c>
      <c r="G28" s="5" t="s">
        <v>120</v>
      </c>
      <c r="H28" s="5"/>
      <c r="I28" s="5"/>
      <c r="J28" s="5" t="s">
        <v>473</v>
      </c>
    </row>
    <row r="29" spans="1:10" x14ac:dyDescent="0.25">
      <c r="A29" s="5" t="s">
        <v>467</v>
      </c>
      <c r="B29" s="5" t="s">
        <v>13</v>
      </c>
      <c r="C29" s="5" t="s">
        <v>474</v>
      </c>
      <c r="D29" s="5" t="s">
        <v>475</v>
      </c>
      <c r="E29" s="5" t="s">
        <v>6</v>
      </c>
      <c r="F29" s="5" t="s">
        <v>32</v>
      </c>
      <c r="G29" s="5" t="s">
        <v>426</v>
      </c>
      <c r="H29" s="5"/>
      <c r="I29" s="5"/>
      <c r="J29" s="5"/>
    </row>
  </sheetData>
  <autoFilter ref="A1:J29" xr:uid="{00000000-0009-0000-0000-000003000000}"/>
  <phoneticPr fontId="10" type="noConversion"/>
  <conditionalFormatting sqref="E2:E497">
    <cfRule type="cellIs" dxfId="6" priority="2" operator="equal">
      <formula>"Completed"</formula>
    </cfRule>
    <cfRule type="cellIs" dxfId="5" priority="3" operator="equal">
      <formula>"In Progress"</formula>
    </cfRule>
    <cfRule type="cellIs" dxfId="4" priority="4" operator="equal">
      <formula>"Pending"</formula>
    </cfRule>
    <cfRule type="cellIs" dxfId="3" priority="5" operator="equal">
      <formula>"Blocked"</formula>
    </cfRule>
  </conditionalFormatting>
  <conditionalFormatting sqref="H2:H497">
    <cfRule type="cellIs" dxfId="2" priority="6" operator="equal">
      <formula>"Pass"</formula>
    </cfRule>
    <cfRule type="cellIs" dxfId="1" priority="7" operator="equal">
      <formula>"Fail"</formula>
    </cfRule>
    <cfRule type="cellIs" dxfId="0" priority="8" operator="equal">
      <formula>"Skipped"</formula>
    </cfRule>
  </conditionalFormatting>
  <dataValidations count="3">
    <dataValidation type="list" allowBlank="1" sqref="E2:E497" xr:uid="{00000000-0002-0000-0300-000000000000}">
      <formula1>"Completed,In Progress,Pending,Blocked"</formula1>
      <formula2>0</formula2>
    </dataValidation>
    <dataValidation type="list" allowBlank="1" sqref="F2:F497" xr:uid="{00000000-0002-0000-0300-000001000000}">
      <formula1>"High,Medium,Low"</formula1>
      <formula2>0</formula2>
    </dataValidation>
    <dataValidation type="list" allowBlank="1" sqref="H2:H497" xr:uid="{00000000-0002-0000-0300-000002000000}">
      <formula1>"Pass,Fail,Skipped,Not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Purchase-flow</vt:lpstr>
      <vt:lpstr>Sales-flow</vt:lpstr>
      <vt:lpstr>Dependencies</vt:lpstr>
      <vt:lpstr>Scenarios</vt:lpstr>
      <vt:lpstr>To 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Kumar MR</cp:lastModifiedBy>
  <cp:revision>0</cp:revision>
  <dcterms:created xsi:type="dcterms:W3CDTF">2026-10-01T10:42:18Z</dcterms:created>
  <dcterms:modified xsi:type="dcterms:W3CDTF">2026-10-01T12:26:29Z</dcterms:modified>
  <dc:language>en-US</dc:language>
</cp:coreProperties>
</file>